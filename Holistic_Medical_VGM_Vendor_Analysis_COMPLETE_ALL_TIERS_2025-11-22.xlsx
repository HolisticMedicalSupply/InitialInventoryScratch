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ory Analysis" sheetId="1" state="visible" r:id="rId1"/>
    <sheet name="BOC Category Summary" sheetId="2" state="visible" r:id="rId2"/>
    <sheet name="Items Without Medicare Rates" sheetId="3" state="visible" r:id="rId3"/>
    <sheet name="Customer Requests" sheetId="4" state="visible" r:id="rId4"/>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3">
    <font>
      <name val="Calibri"/>
      <family val="2"/>
      <color theme="1"/>
      <sz val="11"/>
      <scheme val="minor"/>
    </font>
    <font>
      <b val="1"/>
      <color rgb="00FFFFFF"/>
      <sz val="11"/>
    </font>
    <font>
      <b val="1"/>
      <color rgb="00FFFFFF"/>
    </font>
  </fonts>
  <fills count="4">
    <fill>
      <patternFill/>
    </fill>
    <fill>
      <patternFill patternType="gray125"/>
    </fill>
    <fill>
      <patternFill patternType="solid">
        <fgColor rgb="001F4E78"/>
        <bgColor rgb="001F4E78"/>
      </patternFill>
    </fill>
    <fill>
      <patternFill patternType="solid">
        <fgColor rgb="00366092"/>
        <bgColor rgb="0036609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165"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wrapText="1"/>
    </xf>
  </cellXfs>
  <cellStyles count="1">
    <cellStyle name="Normal" xfId="0" builtinId="0" hidden="0"/>
  </cellStyles>
  <dxfs count="3">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8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10" customWidth="1" min="4" max="4"/>
    <col width="15" customWidth="1" min="5" max="5"/>
    <col width="20" customWidth="1" min="6" max="6"/>
    <col width="30" customWidth="1" min="7" max="7"/>
    <col width="12" customWidth="1" min="8" max="8"/>
    <col width="20" customWidth="1" min="9" max="9"/>
    <col width="30" customWidth="1" min="10" max="10"/>
    <col width="12" customWidth="1" min="11" max="11"/>
    <col width="20" customWidth="1" min="12" max="12"/>
    <col width="30" customWidth="1" min="13" max="13"/>
    <col width="12" customWidth="1" min="14" max="14"/>
    <col width="35" customWidth="1" min="15" max="15"/>
    <col width="12" customWidth="1" min="16" max="16"/>
    <col width="15" customWidth="1" min="17" max="17"/>
    <col width="15" customWidth="1" min="18" max="18"/>
    <col width="12" customWidth="1" min="19" max="19"/>
    <col width="10" customWidth="1" min="20" max="20"/>
    <col width="15" customWidth="1" min="21" max="21"/>
    <col width="20" customWidth="1" min="22" max="22"/>
  </cols>
  <sheetData>
    <row r="1">
      <c r="A1" s="5" t="inlineStr">
        <is>
          <t>HCPCS Code</t>
        </is>
      </c>
      <c r="B1" s="5" t="inlineStr">
        <is>
          <t>BOC Category</t>
        </is>
      </c>
      <c r="C1" s="5" t="inlineStr">
        <is>
          <t>Description</t>
        </is>
      </c>
      <c r="D1" s="5" t="inlineStr">
        <is>
          <t>Quantity</t>
        </is>
      </c>
      <c r="E1" s="5" t="inlineStr">
        <is>
          <t>Medicare Allowable Rate</t>
        </is>
      </c>
      <c r="F1" s="5" t="inlineStr">
        <is>
          <t>Option 1 Vendor</t>
        </is>
      </c>
      <c r="G1" s="5" t="inlineStr">
        <is>
          <t>Option 1 Product</t>
        </is>
      </c>
      <c r="H1" s="5" t="inlineStr">
        <is>
          <t>Option 1 Unit Cost</t>
        </is>
      </c>
      <c r="I1" s="5" t="inlineStr">
        <is>
          <t>Option 2 Vendor</t>
        </is>
      </c>
      <c r="J1" s="5" t="inlineStr">
        <is>
          <t>Option 2 Product</t>
        </is>
      </c>
      <c r="K1" s="5" t="inlineStr">
        <is>
          <t>Option 2 Unit Cost</t>
        </is>
      </c>
      <c r="L1" s="5" t="inlineStr">
        <is>
          <t>Option 3 Vendor</t>
        </is>
      </c>
      <c r="M1" s="5" t="inlineStr">
        <is>
          <t>Option 3 Product</t>
        </is>
      </c>
      <c r="N1" s="5" t="inlineStr">
        <is>
          <t>Option 3 Unit Cost</t>
        </is>
      </c>
      <c r="O1" s="5" t="inlineStr">
        <is>
          <t>Best Option</t>
        </is>
      </c>
      <c r="P1" s="5" t="inlineStr">
        <is>
          <t>Best Unit Cost</t>
        </is>
      </c>
      <c r="Q1" s="5" t="inlineStr">
        <is>
          <t>Line Total Cost</t>
        </is>
      </c>
      <c r="R1" s="5" t="inlineStr">
        <is>
          <t>Medicare Revenue</t>
        </is>
      </c>
      <c r="S1" s="5" t="inlineStr">
        <is>
          <t>Profit Margin %</t>
        </is>
      </c>
      <c r="T1" s="5" t="inlineStr">
        <is>
          <t>Priority</t>
        </is>
      </c>
      <c r="U1" s="5" t="inlineStr">
        <is>
          <t>Source</t>
        </is>
      </c>
      <c r="V1" s="5" t="inlineStr">
        <is>
          <t>Customer</t>
        </is>
      </c>
    </row>
    <row r="2">
      <c r="A2" t="inlineStr">
        <is>
          <t>L4361</t>
        </is>
      </c>
      <c r="B2" t="inlineStr">
        <is>
          <t>OR03</t>
        </is>
      </c>
      <c r="C2" t="inlineStr">
        <is>
          <t>Walking boot - pneumatic/vacuum (CAM WALKER)</t>
        </is>
      </c>
      <c r="D2" t="n">
        <v>6</v>
      </c>
      <c r="E2" t="n">
        <v>103.88</v>
      </c>
      <c r="O2">
        <f>IF(P2=H2,IF(ISBLANK(G2),"",F2&amp;" - "&amp;G2),IF(P2=K2,IF(ISBLANK(J2),"",I2&amp;" - "&amp;J2),IF(ISBLANK(M2),"",L2&amp;" - "&amp;M2)))</f>
        <v/>
      </c>
      <c r="P2">
        <f>MIN(H2,K2,N2)</f>
        <v/>
      </c>
      <c r="Q2">
        <f>D2*P2</f>
        <v/>
      </c>
      <c r="R2">
        <f>IF(ISBLANK(E2),0,D2*E2)</f>
        <v/>
      </c>
      <c r="S2">
        <f>IF(R2=0,0,(R2-Q2)/R2)</f>
        <v/>
      </c>
      <c r="T2" t="n">
        <v>100</v>
      </c>
      <c r="U2" t="inlineStr">
        <is>
          <t>CUSTOMER</t>
        </is>
      </c>
      <c r="V2" t="inlineStr">
        <is>
          <t>DR_NAS</t>
        </is>
      </c>
    </row>
    <row r="3">
      <c r="A3" t="inlineStr">
        <is>
          <t>E0607</t>
        </is>
      </c>
      <c r="B3" t="inlineStr">
        <is>
          <t>DM06</t>
        </is>
      </c>
      <c r="C3" t="inlineStr">
        <is>
          <t>HOME BLOOD GLUCOSE MONITOR</t>
        </is>
      </c>
      <c r="D3" t="n">
        <v>25</v>
      </c>
      <c r="E3" t="n">
        <v>93.36</v>
      </c>
      <c r="O3">
        <f>IF(P3=H3,IF(ISBLANK(G3),"",F3&amp;" - "&amp;G3),IF(P3=K3,IF(ISBLANK(J3),"",I3&amp;" - "&amp;J3),IF(ISBLANK(M3),"",L3&amp;" - "&amp;M3)))</f>
        <v/>
      </c>
      <c r="P3">
        <f>MIN(H3,K3,N3)</f>
        <v/>
      </c>
      <c r="Q3">
        <f>D3*P3</f>
        <v/>
      </c>
      <c r="R3">
        <f>IF(ISBLANK(E3),0,D3*E3)</f>
        <v/>
      </c>
      <c r="S3">
        <f>IF(R3=0,0,(R3-Q3)/R3)</f>
        <v/>
      </c>
      <c r="T3" t="n">
        <v>90</v>
      </c>
      <c r="U3" t="inlineStr">
        <is>
          <t>CUSTOMER</t>
        </is>
      </c>
      <c r="V3" t="inlineStr">
        <is>
          <t>MOYHINOR, WALTERS</t>
        </is>
      </c>
    </row>
    <row r="4">
      <c r="A4" t="inlineStr">
        <is>
          <t>L4370</t>
        </is>
      </c>
      <c r="B4" t="inlineStr">
        <is>
          <t>OR03</t>
        </is>
      </c>
      <c r="C4" t="inlineStr">
        <is>
          <t>Pneumatic full leg splint</t>
        </is>
      </c>
      <c r="D4" t="n">
        <v>2</v>
      </c>
      <c r="E4" t="n">
        <v>150</v>
      </c>
      <c r="O4">
        <f>IF(P4=H4,IF(ISBLANK(G4),"",F4&amp;" - "&amp;G4),IF(P4=K4,IF(ISBLANK(J4),"",I4&amp;" - "&amp;J4),IF(ISBLANK(M4),"",L4&amp;" - "&amp;M4)))</f>
        <v/>
      </c>
      <c r="P4">
        <f>MIN(H4,K4,N4)</f>
        <v/>
      </c>
      <c r="Q4">
        <f>D4*P4</f>
        <v/>
      </c>
      <c r="R4">
        <f>IF(ISBLANK(E4),0,D4*E4)</f>
        <v/>
      </c>
      <c r="S4">
        <f>IF(R4=0,0,(R4-Q4)/R4)</f>
        <v/>
      </c>
      <c r="T4" t="n">
        <v>80</v>
      </c>
      <c r="U4" t="inlineStr">
        <is>
          <t>CUSTOMER</t>
        </is>
      </c>
      <c r="V4" t="inlineStr">
        <is>
          <t>DR_NAS</t>
        </is>
      </c>
    </row>
    <row r="5">
      <c r="A5" t="inlineStr">
        <is>
          <t>L1906</t>
        </is>
      </c>
      <c r="B5" t="inlineStr">
        <is>
          <t>OR03</t>
        </is>
      </c>
      <c r="C5" t="inlineStr">
        <is>
          <t>AFO - multiligamentous ankle support</t>
        </is>
      </c>
      <c r="D5" t="n">
        <v>6</v>
      </c>
      <c r="E5" t="n">
        <v>117.69</v>
      </c>
      <c r="O5">
        <f>IF(P5=H5,IF(ISBLANK(G5),"",F5&amp;" - "&amp;G5),IF(P5=K5,IF(ISBLANK(J5),"",I5&amp;" - "&amp;J5),IF(ISBLANK(M5),"",L5&amp;" - "&amp;M5)))</f>
        <v/>
      </c>
      <c r="P5">
        <f>MIN(H5,K5,N5)</f>
        <v/>
      </c>
      <c r="Q5">
        <f>D5*P5</f>
        <v/>
      </c>
      <c r="R5">
        <f>IF(ISBLANK(E5),0,D5*E5)</f>
        <v/>
      </c>
      <c r="S5">
        <f>IF(R5=0,0,(R5-Q5)/R5)</f>
        <v/>
      </c>
      <c r="T5" t="n">
        <v>80</v>
      </c>
      <c r="U5" t="inlineStr">
        <is>
          <t>CUSTOMER</t>
        </is>
      </c>
      <c r="V5" t="inlineStr">
        <is>
          <t>DR_NAS</t>
        </is>
      </c>
    </row>
    <row r="6">
      <c r="A6" t="inlineStr">
        <is>
          <t>L4387</t>
        </is>
      </c>
      <c r="B6" t="inlineStr">
        <is>
          <t>OR03</t>
        </is>
      </c>
      <c r="C6" t="inlineStr">
        <is>
          <t>Walking boot - non-pneumatic</t>
        </is>
      </c>
      <c r="D6" t="n">
        <v>2</v>
      </c>
      <c r="E6" t="n">
        <v>103.88</v>
      </c>
      <c r="O6">
        <f>IF(P6=H6,IF(ISBLANK(G6),"",F6&amp;" - "&amp;G6),IF(P6=K6,IF(ISBLANK(J6),"",I6&amp;" - "&amp;J6),IF(ISBLANK(M6),"",L6&amp;" - "&amp;M6)))</f>
        <v/>
      </c>
      <c r="P6">
        <f>MIN(H6,K6,N6)</f>
        <v/>
      </c>
      <c r="Q6">
        <f>D6*P6</f>
        <v/>
      </c>
      <c r="R6">
        <f>IF(ISBLANK(E6),0,D6*E6)</f>
        <v/>
      </c>
      <c r="S6">
        <f>IF(R6=0,0,(R6-Q6)/R6)</f>
        <v/>
      </c>
      <c r="T6" t="n">
        <v>80</v>
      </c>
      <c r="U6" t="inlineStr">
        <is>
          <t>CUSTOMER</t>
        </is>
      </c>
      <c r="V6" t="inlineStr">
        <is>
          <t>DR_NAS</t>
        </is>
      </c>
    </row>
    <row r="7">
      <c r="A7" t="inlineStr">
        <is>
          <t>L1902</t>
        </is>
      </c>
      <c r="B7" t="inlineStr">
        <is>
          <t>OR03</t>
        </is>
      </c>
      <c r="C7" t="inlineStr">
        <is>
          <t>ANKLE ORTHOSIS, ANKLE GAUNTLET OR SIMILAR, WITH OR WITHOUT JOINTS, PREFABRICATED, OFF-THE-SHELF</t>
        </is>
      </c>
      <c r="D7" t="n">
        <v>20</v>
      </c>
      <c r="E7" t="n">
        <v>117.69</v>
      </c>
      <c r="O7">
        <f>IF(P7=H7,IF(ISBLANK(G7),"",F7&amp;" - "&amp;G7),IF(P7=K7,IF(ISBLANK(J7),"",I7&amp;" - "&amp;J7),IF(ISBLANK(M7),"",L7&amp;" - "&amp;M7)))</f>
        <v/>
      </c>
      <c r="P7">
        <f>MIN(H7,K7,N7)</f>
        <v/>
      </c>
      <c r="Q7">
        <f>D7*P7</f>
        <v/>
      </c>
      <c r="R7">
        <f>IF(ISBLANK(E7),0,D7*E7)</f>
        <v/>
      </c>
      <c r="S7">
        <f>IF(R7=0,0,(R7-Q7)/R7)</f>
        <v/>
      </c>
      <c r="T7" t="n">
        <v>80</v>
      </c>
      <c r="U7" t="inlineStr">
        <is>
          <t>CUSTOMER</t>
        </is>
      </c>
      <c r="V7" t="inlineStr">
        <is>
          <t>DR_NAS</t>
        </is>
      </c>
    </row>
    <row r="8">
      <c r="A8" t="inlineStr">
        <is>
          <t>L4350</t>
        </is>
      </c>
      <c r="B8" t="inlineStr">
        <is>
          <t>OR03</t>
        </is>
      </c>
      <c r="C8" t="inlineStr">
        <is>
          <t>Ankle control orthosis, stirrup style</t>
        </is>
      </c>
      <c r="D8" t="n">
        <v>2</v>
      </c>
      <c r="E8" t="n">
        <v>103.88</v>
      </c>
      <c r="O8">
        <f>IF(P8=H8,IF(ISBLANK(G8),"",F8&amp;" - "&amp;G8),IF(P8=K8,IF(ISBLANK(J8),"",I8&amp;" - "&amp;J8),IF(ISBLANK(M8),"",L8&amp;" - "&amp;M8)))</f>
        <v/>
      </c>
      <c r="P8">
        <f>MIN(H8,K8,N8)</f>
        <v/>
      </c>
      <c r="Q8">
        <f>D8*P8</f>
        <v/>
      </c>
      <c r="R8">
        <f>IF(ISBLANK(E8),0,D8*E8)</f>
        <v/>
      </c>
      <c r="S8">
        <f>IF(R8=0,0,(R8-Q8)/R8)</f>
        <v/>
      </c>
      <c r="T8" t="n">
        <v>80</v>
      </c>
      <c r="U8" t="inlineStr">
        <is>
          <t>CUSTOMER</t>
        </is>
      </c>
      <c r="V8" t="inlineStr">
        <is>
          <t>DR_NAS</t>
        </is>
      </c>
    </row>
    <row r="9">
      <c r="A9" t="inlineStr">
        <is>
          <t>E2103</t>
        </is>
      </c>
      <c r="B9" t="inlineStr">
        <is>
          <t>DM06</t>
        </is>
      </c>
      <c r="C9" t="inlineStr">
        <is>
          <t>Freestyle Libre CGM Reader</t>
        </is>
      </c>
      <c r="D9" t="n">
        <v>5</v>
      </c>
      <c r="E9" t="n">
        <v>327.88</v>
      </c>
      <c r="F9" t="inlineStr">
        <is>
          <t>Abbott Diabetes Care</t>
        </is>
      </c>
      <c r="G9" t="inlineStr">
        <is>
          <t>FreeStyle Libre 2 System</t>
        </is>
      </c>
      <c r="H9" t="n">
        <v>120</v>
      </c>
      <c r="I9" t="inlineStr">
        <is>
          <t>Dexcom</t>
        </is>
      </c>
      <c r="J9" t="inlineStr">
        <is>
          <t>Dexcom G6 CGM System</t>
        </is>
      </c>
      <c r="K9" t="n">
        <v>150</v>
      </c>
      <c r="L9" t="inlineStr">
        <is>
          <t>Medtronic</t>
        </is>
      </c>
      <c r="M9" t="inlineStr">
        <is>
          <t>Guardian Connect CGM</t>
        </is>
      </c>
      <c r="N9" t="n">
        <v>140</v>
      </c>
      <c r="O9">
        <f>IF(P9=H9,IF(ISBLANK(G9),"",F9&amp;" - "&amp;G9),IF(P9=K9,IF(ISBLANK(J9),"",I9&amp;" - "&amp;J9),IF(ISBLANK(M9),"",L9&amp;" - "&amp;M9)))</f>
        <v/>
      </c>
      <c r="P9">
        <f>MIN(H9,K9,N9)</f>
        <v/>
      </c>
      <c r="Q9">
        <f>D9*P9</f>
        <v/>
      </c>
      <c r="R9">
        <f>IF(ISBLANK(E9),0,D9*E9)</f>
        <v/>
      </c>
      <c r="S9">
        <f>IF(R9=0,0,(R9-Q9)/R9)</f>
        <v/>
      </c>
      <c r="T9" t="n">
        <v>70</v>
      </c>
      <c r="U9" t="inlineStr">
        <is>
          <t>CUSTOMER</t>
        </is>
      </c>
      <c r="V9" t="inlineStr">
        <is>
          <t>MOYHINOR (CGM_STRATEGY)</t>
        </is>
      </c>
    </row>
    <row r="10">
      <c r="A10" t="inlineStr">
        <is>
          <t>E2103</t>
        </is>
      </c>
      <c r="B10" t="inlineStr">
        <is>
          <t>DM06</t>
        </is>
      </c>
      <c r="C10" t="inlineStr">
        <is>
          <t>Dexcom G7 CGM Receiver</t>
        </is>
      </c>
      <c r="D10" t="n">
        <v>5</v>
      </c>
      <c r="E10" t="n">
        <v>327.88</v>
      </c>
      <c r="F10" t="inlineStr">
        <is>
          <t>Dexcom</t>
        </is>
      </c>
      <c r="G10" t="inlineStr">
        <is>
          <t>Dexcom G7 CGM System</t>
        </is>
      </c>
      <c r="H10" t="n">
        <v>145</v>
      </c>
      <c r="I10" t="inlineStr">
        <is>
          <t>Abbott Diabetes Care</t>
        </is>
      </c>
      <c r="J10" t="inlineStr">
        <is>
          <t>FreeStyle Libre 3</t>
        </is>
      </c>
      <c r="K10" t="n">
        <v>130</v>
      </c>
      <c r="L10" t="inlineStr">
        <is>
          <t>Medtronic</t>
        </is>
      </c>
      <c r="M10" t="inlineStr">
        <is>
          <t>Guardian 4 Sensor</t>
        </is>
      </c>
      <c r="N10" t="n">
        <v>135</v>
      </c>
      <c r="O10">
        <f>IF(P10=H10,IF(ISBLANK(G10),"",F10&amp;" - "&amp;G10),IF(P10=K10,IF(ISBLANK(J10),"",I10&amp;" - "&amp;J10),IF(ISBLANK(M10),"",L10&amp;" - "&amp;M10)))</f>
        <v/>
      </c>
      <c r="P10">
        <f>MIN(H10,K10,N10)</f>
        <v/>
      </c>
      <c r="Q10">
        <f>D10*P10</f>
        <v/>
      </c>
      <c r="R10">
        <f>IF(ISBLANK(E10),0,D10*E10)</f>
        <v/>
      </c>
      <c r="S10">
        <f>IF(R10=0,0,(R10-Q10)/R10)</f>
        <v/>
      </c>
      <c r="T10" t="n">
        <v>70</v>
      </c>
      <c r="U10" t="inlineStr">
        <is>
          <t>CUSTOMER</t>
        </is>
      </c>
      <c r="V10" t="inlineStr">
        <is>
          <t>MOYHINOR (CGM_STRATEGY)</t>
        </is>
      </c>
    </row>
    <row r="11">
      <c r="A11" t="inlineStr">
        <is>
          <t>E0130</t>
        </is>
      </c>
      <c r="B11" t="inlineStr">
        <is>
          <t>M05</t>
        </is>
      </c>
      <c r="C11" t="inlineStr">
        <is>
          <t>WALKER, RIGID (PICKUP), ADJUSTABLE OR FIXED HEIGHT</t>
        </is>
      </c>
      <c r="D11" t="n">
        <v>5</v>
      </c>
      <c r="E11" t="n">
        <v>53.39</v>
      </c>
      <c r="O11">
        <f>IF(P11=H11,IF(ISBLANK(G11),"",F11&amp;" - "&amp;G11),IF(P11=K11,IF(ISBLANK(J11),"",I11&amp;" - "&amp;J11),IF(ISBLANK(M11),"",L11&amp;" - "&amp;M11)))</f>
        <v/>
      </c>
      <c r="P11">
        <f>MIN(H11,K11,N11)</f>
        <v/>
      </c>
      <c r="Q11">
        <f>D11*P11</f>
        <v/>
      </c>
      <c r="R11">
        <f>IF(ISBLANK(E11),0,D11*E11)</f>
        <v/>
      </c>
      <c r="S11">
        <f>IF(R11=0,0,(R11-Q11)/R11)</f>
        <v/>
      </c>
      <c r="T11" t="n">
        <v>70</v>
      </c>
      <c r="U11" t="inlineStr">
        <is>
          <t>CUSTOMER</t>
        </is>
      </c>
      <c r="V11" t="inlineStr">
        <is>
          <t>RAMBOM</t>
        </is>
      </c>
    </row>
    <row r="12">
      <c r="A12" t="inlineStr">
        <is>
          <t>E0143</t>
        </is>
      </c>
      <c r="B12" t="inlineStr">
        <is>
          <t>M05</t>
        </is>
      </c>
      <c r="C12" t="inlineStr">
        <is>
          <t>WALKER, FOLDING, WHEELED, ADJUSTABLE OR FIXED HEIGHT</t>
        </is>
      </c>
      <c r="D12" t="n">
        <v>3</v>
      </c>
      <c r="E12" t="n">
        <v>54.75</v>
      </c>
      <c r="O12">
        <f>IF(P12=H12,IF(ISBLANK(G12),"",F12&amp;" - "&amp;G12),IF(P12=K12,IF(ISBLANK(J12),"",I12&amp;" - "&amp;J12),IF(ISBLANK(M12),"",L12&amp;" - "&amp;M12)))</f>
        <v/>
      </c>
      <c r="P12">
        <f>MIN(H12,K12,N12)</f>
        <v/>
      </c>
      <c r="Q12">
        <f>D12*P12</f>
        <v/>
      </c>
      <c r="R12">
        <f>IF(ISBLANK(E12),0,D12*E12)</f>
        <v/>
      </c>
      <c r="S12">
        <f>IF(R12=0,0,(R12-Q12)/R12)</f>
        <v/>
      </c>
      <c r="T12" t="n">
        <v>70</v>
      </c>
      <c r="U12" t="inlineStr">
        <is>
          <t>CUSTOMER</t>
        </is>
      </c>
      <c r="V12" t="inlineStr">
        <is>
          <t>RAMBOM</t>
        </is>
      </c>
    </row>
    <row r="13">
      <c r="A13" t="inlineStr">
        <is>
          <t>A4239</t>
        </is>
      </c>
      <c r="B13" t="inlineStr">
        <is>
          <t>DM06</t>
        </is>
      </c>
      <c r="C13" t="inlineStr">
        <is>
          <t>Freestyle Libre CGM Sensors, 30-day</t>
        </is>
      </c>
      <c r="D13" t="n">
        <v>10</v>
      </c>
      <c r="E13" t="n">
        <v>267.92</v>
      </c>
      <c r="O13">
        <f>IF(P13=H13,IF(ISBLANK(G13),"",F13&amp;" - "&amp;G13),IF(P13=K13,IF(ISBLANK(J13),"",I13&amp;" - "&amp;J13),IF(ISBLANK(M13),"",L13&amp;" - "&amp;M13)))</f>
        <v/>
      </c>
      <c r="P13">
        <f>MIN(H13,K13,N13)</f>
        <v/>
      </c>
      <c r="Q13">
        <f>D13*P13</f>
        <v/>
      </c>
      <c r="R13">
        <f>IF(ISBLANK(E13),0,D13*E13)</f>
        <v/>
      </c>
      <c r="S13">
        <f>IF(R13=0,0,(R13-Q13)/R13)</f>
        <v/>
      </c>
      <c r="T13" t="n">
        <v>70</v>
      </c>
      <c r="U13" t="inlineStr">
        <is>
          <t>CUSTOMER</t>
        </is>
      </c>
      <c r="V13" t="inlineStr">
        <is>
          <t>MOYHINOR (CGM_STRATEGY)</t>
        </is>
      </c>
    </row>
    <row r="14">
      <c r="A14" t="inlineStr">
        <is>
          <t>A4239</t>
        </is>
      </c>
      <c r="B14" t="inlineStr">
        <is>
          <t>DM06</t>
        </is>
      </c>
      <c r="C14" t="inlineStr">
        <is>
          <t>Dexcom G7 CGM Sensors, 30-day</t>
        </is>
      </c>
      <c r="D14" t="n">
        <v>10</v>
      </c>
      <c r="E14" t="n">
        <v>267.92</v>
      </c>
      <c r="O14">
        <f>IF(P14=H14,IF(ISBLANK(G14),"",F14&amp;" - "&amp;G14),IF(P14=K14,IF(ISBLANK(J14),"",I14&amp;" - "&amp;J14),IF(ISBLANK(M14),"",L14&amp;" - "&amp;M14)))</f>
        <v/>
      </c>
      <c r="P14">
        <f>MIN(H14,K14,N14)</f>
        <v/>
      </c>
      <c r="Q14">
        <f>D14*P14</f>
        <v/>
      </c>
      <c r="R14">
        <f>IF(ISBLANK(E14),0,D14*E14)</f>
        <v/>
      </c>
      <c r="S14">
        <f>IF(R14=0,0,(R14-Q14)/R14)</f>
        <v/>
      </c>
      <c r="T14" t="n">
        <v>70</v>
      </c>
      <c r="U14" t="inlineStr">
        <is>
          <t>CUSTOMER</t>
        </is>
      </c>
      <c r="V14" t="inlineStr">
        <is>
          <t>MOYHINOR (CGM_STRATEGY)</t>
        </is>
      </c>
    </row>
    <row r="15">
      <c r="A15" t="inlineStr">
        <is>
          <t>A4253</t>
        </is>
      </c>
      <c r="B15" t="inlineStr">
        <is>
          <t>DM06</t>
        </is>
      </c>
      <c r="C15" t="inlineStr">
        <is>
          <t>BLOOD GLUCOSE TEST OR REAGENT STRIPS FOR HOME BLOOD GLUCOSE MONITOR, PER 50 STRIPS</t>
        </is>
      </c>
      <c r="D15" t="n">
        <v>1500</v>
      </c>
      <c r="E15" t="n">
        <v>8.32</v>
      </c>
      <c r="O15">
        <f>IF(P15=H15,IF(ISBLANK(G15),"",F15&amp;" - "&amp;G15),IF(P15=K15,IF(ISBLANK(J15),"",I15&amp;" - "&amp;J15),IF(ISBLANK(M15),"",L15&amp;" - "&amp;M15)))</f>
        <v/>
      </c>
      <c r="P15">
        <f>MIN(H15,K15,N15)</f>
        <v/>
      </c>
      <c r="Q15">
        <f>D15*P15</f>
        <v/>
      </c>
      <c r="R15">
        <f>IF(ISBLANK(E15),0,D15*E15)</f>
        <v/>
      </c>
      <c r="S15">
        <f>IF(R15=0,0,(R15-Q15)/R15)</f>
        <v/>
      </c>
      <c r="T15" t="n">
        <v>70</v>
      </c>
      <c r="U15" t="inlineStr">
        <is>
          <t>CUSTOMER</t>
        </is>
      </c>
      <c r="V15" t="inlineStr">
        <is>
          <t>WALTERS</t>
        </is>
      </c>
    </row>
    <row r="16">
      <c r="A16" t="inlineStr">
        <is>
          <t>K0001</t>
        </is>
      </c>
      <c r="B16" t="inlineStr">
        <is>
          <t>M06</t>
        </is>
      </c>
      <c r="C16" t="inlineStr">
        <is>
          <t>STANDARD WHEELCHAIR</t>
        </is>
      </c>
      <c r="D16" t="n">
        <v>2</v>
      </c>
      <c r="E16" t="n">
        <v>23.1</v>
      </c>
      <c r="O16">
        <f>IF(P16=H16,IF(ISBLANK(G16),"",F16&amp;" - "&amp;G16),IF(P16=K16,IF(ISBLANK(J16),"",I16&amp;" - "&amp;J16),IF(ISBLANK(M16),"",L16&amp;" - "&amp;M16)))</f>
        <v/>
      </c>
      <c r="P16">
        <f>MIN(H16,K16,N16)</f>
        <v/>
      </c>
      <c r="Q16">
        <f>D16*P16</f>
        <v/>
      </c>
      <c r="R16">
        <f>IF(ISBLANK(E16),0,D16*E16)</f>
        <v/>
      </c>
      <c r="S16">
        <f>IF(R16=0,0,(R16-Q16)/R16)</f>
        <v/>
      </c>
      <c r="T16" t="n">
        <v>70</v>
      </c>
      <c r="U16" t="inlineStr">
        <is>
          <t>CUSTOMER</t>
        </is>
      </c>
      <c r="V16" t="inlineStr">
        <is>
          <t>MOYHINOR</t>
        </is>
      </c>
    </row>
    <row r="17">
      <c r="A17" t="inlineStr">
        <is>
          <t>A4259</t>
        </is>
      </c>
      <c r="B17" t="inlineStr">
        <is>
          <t>DM06</t>
        </is>
      </c>
      <c r="C17" t="inlineStr">
        <is>
          <t>LANCETS, PER BOX OF 100</t>
        </is>
      </c>
      <c r="D17" t="n">
        <v>1000</v>
      </c>
      <c r="E17" t="n">
        <v>1.42</v>
      </c>
      <c r="O17">
        <f>IF(P17=H17,IF(ISBLANK(G17),"",F17&amp;" - "&amp;G17),IF(P17=K17,IF(ISBLANK(J17),"",I17&amp;" - "&amp;J17),IF(ISBLANK(M17),"",L17&amp;" - "&amp;M17)))</f>
        <v/>
      </c>
      <c r="P17">
        <f>MIN(H17,K17,N17)</f>
        <v/>
      </c>
      <c r="Q17">
        <f>D17*P17</f>
        <v/>
      </c>
      <c r="R17">
        <f>IF(ISBLANK(E17),0,D17*E17)</f>
        <v/>
      </c>
      <c r="S17">
        <f>IF(R17=0,0,(R17-Q17)/R17)</f>
        <v/>
      </c>
      <c r="T17" t="n">
        <v>70</v>
      </c>
      <c r="U17" t="inlineStr">
        <is>
          <t>CUSTOMER</t>
        </is>
      </c>
      <c r="V17" t="inlineStr">
        <is>
          <t>WALTERS</t>
        </is>
      </c>
    </row>
    <row r="18">
      <c r="A18" t="inlineStr">
        <is>
          <t>K0015</t>
        </is>
      </c>
      <c r="B18" t="inlineStr">
        <is>
          <t>M06A</t>
        </is>
      </c>
      <c r="C18" t="inlineStr">
        <is>
          <t>DETACHABLE, NON-ADJUSTABLE HEIGHT ARMREST, REPLACEMENT ONLY, EACH</t>
        </is>
      </c>
      <c r="D18" t="n">
        <v>3</v>
      </c>
      <c r="E18" t="n">
        <v>13.49</v>
      </c>
      <c r="O18">
        <f>IF(P18=H18,IF(ISBLANK(G18),"",F18&amp;" - "&amp;G18),IF(P18=K18,IF(ISBLANK(J18),"",I18&amp;" - "&amp;J18),IF(ISBLANK(M18),"",L18&amp;" - "&amp;M18)))</f>
        <v/>
      </c>
      <c r="P18">
        <f>MIN(H18,K18,N18)</f>
        <v/>
      </c>
      <c r="Q18">
        <f>D18*P18</f>
        <v/>
      </c>
      <c r="R18">
        <f>IF(ISBLANK(E18),0,D18*E18)</f>
        <v/>
      </c>
      <c r="S18">
        <f>IF(R18=0,0,(R18-Q18)/R18)</f>
        <v/>
      </c>
      <c r="T18" t="n">
        <v>60</v>
      </c>
      <c r="U18" t="inlineStr">
        <is>
          <t>LAUNCH_INVENTORY</t>
        </is>
      </c>
    </row>
    <row r="19">
      <c r="A19" t="inlineStr">
        <is>
          <t>A6533</t>
        </is>
      </c>
      <c r="B19" t="inlineStr">
        <is>
          <t>S01</t>
        </is>
      </c>
      <c r="C19" t="inlineStr">
        <is>
          <t>GRADIENT COMPRESSION STOCKING, THIGH LENGTH, 18-30 MMHG, EACH</t>
        </is>
      </c>
      <c r="D19" t="n">
        <v>3</v>
      </c>
      <c r="E19" t="n">
        <v>53.42</v>
      </c>
      <c r="O19">
        <f>IF(P19=H19,IF(ISBLANK(G19),"",F19&amp;" - "&amp;G19),IF(P19=K19,IF(ISBLANK(J19),"",I19&amp;" - "&amp;J19),IF(ISBLANK(M19),"",L19&amp;" - "&amp;M19)))</f>
        <v/>
      </c>
      <c r="P19">
        <f>MIN(H19,K19,N19)</f>
        <v/>
      </c>
      <c r="Q19">
        <f>D19*P19</f>
        <v/>
      </c>
      <c r="R19">
        <f>IF(ISBLANK(E19),0,D19*E19)</f>
        <v/>
      </c>
      <c r="S19">
        <f>IF(R19=0,0,(R19-Q19)/R19)</f>
        <v/>
      </c>
      <c r="T19" t="n">
        <v>60</v>
      </c>
      <c r="U19" t="inlineStr">
        <is>
          <t>LAUNCH_INVENTORY</t>
        </is>
      </c>
    </row>
    <row r="20">
      <c r="A20" t="inlineStr">
        <is>
          <t>A6457</t>
        </is>
      </c>
      <c r="B20" t="inlineStr">
        <is>
          <t>S01</t>
        </is>
      </c>
      <c r="C20" t="inlineStr">
        <is>
          <t>TUBULAR DRESSING WITH OR WITHOUT ELASTIC, ANY WIDTH, PER LINEAR YARD</t>
        </is>
      </c>
      <c r="D20" t="n">
        <v>3</v>
      </c>
      <c r="E20" t="n">
        <v>1.59</v>
      </c>
      <c r="O20">
        <f>IF(P20=H20,IF(ISBLANK(G20),"",F20&amp;" - "&amp;G20),IF(P20=K20,IF(ISBLANK(J20),"",I20&amp;" - "&amp;J20),IF(ISBLANK(M20),"",L20&amp;" - "&amp;M20)))</f>
        <v/>
      </c>
      <c r="P20">
        <f>MIN(H20,K20,N20)</f>
        <v/>
      </c>
      <c r="Q20">
        <f>D20*P20</f>
        <v/>
      </c>
      <c r="R20">
        <f>IF(ISBLANK(E20),0,D20*E20)</f>
        <v/>
      </c>
      <c r="S20">
        <f>IF(R20=0,0,(R20-Q20)/R20)</f>
        <v/>
      </c>
      <c r="T20" t="n">
        <v>60</v>
      </c>
      <c r="U20" t="inlineStr">
        <is>
          <t>LAUNCH_INVENTORY</t>
        </is>
      </c>
    </row>
    <row r="21">
      <c r="A21" t="inlineStr">
        <is>
          <t>A6531</t>
        </is>
      </c>
      <c r="B21" t="inlineStr">
        <is>
          <t>S01</t>
        </is>
      </c>
      <c r="C21" t="inlineStr">
        <is>
          <t>GRADIENT COMPRESSION STOCKING, BELOW KNEE, 30-40 MMHG, USED AS A SURGICAL DRESSING, EACH</t>
        </is>
      </c>
      <c r="D21" t="n">
        <v>3</v>
      </c>
      <c r="E21" t="n">
        <v>60.45</v>
      </c>
      <c r="O21">
        <f>IF(P21=H21,IF(ISBLANK(G21),"",F21&amp;" - "&amp;G21),IF(P21=K21,IF(ISBLANK(J21),"",I21&amp;" - "&amp;J21),IF(ISBLANK(M21),"",L21&amp;" - "&amp;M21)))</f>
        <v/>
      </c>
      <c r="P21">
        <f>MIN(H21,K21,N21)</f>
        <v/>
      </c>
      <c r="Q21">
        <f>D21*P21</f>
        <v/>
      </c>
      <c r="R21">
        <f>IF(ISBLANK(E21),0,D21*E21)</f>
        <v/>
      </c>
      <c r="S21">
        <f>IF(R21=0,0,(R21-Q21)/R21)</f>
        <v/>
      </c>
      <c r="T21" t="n">
        <v>60</v>
      </c>
      <c r="U21" t="inlineStr">
        <is>
          <t>LAUNCH_INVENTORY</t>
        </is>
      </c>
    </row>
    <row r="22">
      <c r="A22" t="inlineStr">
        <is>
          <t>A6530</t>
        </is>
      </c>
      <c r="B22" t="inlineStr">
        <is>
          <t>S01</t>
        </is>
      </c>
      <c r="C22" t="inlineStr">
        <is>
          <t>GRADIENT COMPRESSION STOCKING, BELOW KNEE, 18-30 MMHG, EACH</t>
        </is>
      </c>
      <c r="D22" t="n">
        <v>3</v>
      </c>
      <c r="E22" t="n">
        <v>38.04</v>
      </c>
      <c r="O22">
        <f>IF(P22=H22,IF(ISBLANK(G22),"",F22&amp;" - "&amp;G22),IF(P22=K22,IF(ISBLANK(J22),"",I22&amp;" - "&amp;J22),IF(ISBLANK(M22),"",L22&amp;" - "&amp;M22)))</f>
        <v/>
      </c>
      <c r="P22">
        <f>MIN(H22,K22,N22)</f>
        <v/>
      </c>
      <c r="Q22">
        <f>D22*P22</f>
        <v/>
      </c>
      <c r="R22">
        <f>IF(ISBLANK(E22),0,D22*E22)</f>
        <v/>
      </c>
      <c r="S22">
        <f>IF(R22=0,0,(R22-Q22)/R22)</f>
        <v/>
      </c>
      <c r="T22" t="n">
        <v>60</v>
      </c>
      <c r="U22" t="inlineStr">
        <is>
          <t>LAUNCH_INVENTORY</t>
        </is>
      </c>
    </row>
    <row r="23">
      <c r="A23" t="inlineStr">
        <is>
          <t>K0020</t>
        </is>
      </c>
      <c r="B23" t="inlineStr">
        <is>
          <t>M06A</t>
        </is>
      </c>
      <c r="C23" t="inlineStr">
        <is>
          <t>FIXED, ADJUSTABLE HEIGHT ARMREST, PAIR</t>
        </is>
      </c>
      <c r="D23" t="n">
        <v>3</v>
      </c>
      <c r="E23" t="n">
        <v>55.95</v>
      </c>
      <c r="O23">
        <f>IF(P23=H23,IF(ISBLANK(G23),"",F23&amp;" - "&amp;G23),IF(P23=K23,IF(ISBLANK(J23),"",I23&amp;" - "&amp;J23),IF(ISBLANK(M23),"",L23&amp;" - "&amp;M23)))</f>
        <v/>
      </c>
      <c r="P23">
        <f>MIN(H23,K23,N23)</f>
        <v/>
      </c>
      <c r="Q23">
        <f>D23*P23</f>
        <v/>
      </c>
      <c r="R23">
        <f>IF(ISBLANK(E23),0,D23*E23)</f>
        <v/>
      </c>
      <c r="S23">
        <f>IF(R23=0,0,(R23-Q23)/R23)</f>
        <v/>
      </c>
      <c r="T23" t="n">
        <v>60</v>
      </c>
      <c r="U23" t="inlineStr">
        <is>
          <t>LAUNCH_INVENTORY</t>
        </is>
      </c>
    </row>
    <row r="24">
      <c r="A24" t="inlineStr">
        <is>
          <t>E2216</t>
        </is>
      </c>
      <c r="B24" t="inlineStr">
        <is>
          <t>M06A</t>
        </is>
      </c>
      <c r="C24" t="inlineStr">
        <is>
          <t>MANUAL WHEELCHAIR ACCESSORY, FOAM FILLED PROPULSION TIRE, ANY SIZE, EACH</t>
        </is>
      </c>
      <c r="D24" t="n">
        <v>3</v>
      </c>
      <c r="E24" t="n">
        <v>51</v>
      </c>
      <c r="O24">
        <f>IF(P24=H24,IF(ISBLANK(G24),"",F24&amp;" - "&amp;G24),IF(P24=K24,IF(ISBLANK(J24),"",I24&amp;" - "&amp;J24),IF(ISBLANK(M24),"",L24&amp;" - "&amp;M24)))</f>
        <v/>
      </c>
      <c r="P24">
        <f>MIN(H24,K24,N24)</f>
        <v/>
      </c>
      <c r="Q24">
        <f>D24*P24</f>
        <v/>
      </c>
      <c r="R24">
        <f>IF(ISBLANK(E24),0,D24*E24)</f>
        <v/>
      </c>
      <c r="S24">
        <f>IF(R24=0,0,(R24-Q24)/R24)</f>
        <v/>
      </c>
      <c r="T24" t="n">
        <v>60</v>
      </c>
      <c r="U24" t="inlineStr">
        <is>
          <t>LAUNCH_INVENTORY</t>
        </is>
      </c>
    </row>
    <row r="25">
      <c r="A25" t="inlineStr">
        <is>
          <t>E2215</t>
        </is>
      </c>
      <c r="B25" t="inlineStr">
        <is>
          <t>M06A</t>
        </is>
      </c>
      <c r="C25" t="inlineStr">
        <is>
          <t>MANUAL WHEELCHAIR ACCESSORY, TUBE FOR PNEUMATIC CASTER TIRE, ANY SIZE, EACH</t>
        </is>
      </c>
      <c r="D25" t="n">
        <v>3</v>
      </c>
      <c r="E25" t="n">
        <v>11.25</v>
      </c>
      <c r="O25">
        <f>IF(P25=H25,IF(ISBLANK(G25),"",F25&amp;" - "&amp;G25),IF(P25=K25,IF(ISBLANK(J25),"",I25&amp;" - "&amp;J25),IF(ISBLANK(M25),"",L25&amp;" - "&amp;M25)))</f>
        <v/>
      </c>
      <c r="P25">
        <f>MIN(H25,K25,N25)</f>
        <v/>
      </c>
      <c r="Q25">
        <f>D25*P25</f>
        <v/>
      </c>
      <c r="R25">
        <f>IF(ISBLANK(E25),0,D25*E25)</f>
        <v/>
      </c>
      <c r="S25">
        <f>IF(R25=0,0,(R25-Q25)/R25)</f>
        <v/>
      </c>
      <c r="T25" t="n">
        <v>60</v>
      </c>
      <c r="U25" t="inlineStr">
        <is>
          <t>LAUNCH_INVENTORY</t>
        </is>
      </c>
    </row>
    <row r="26">
      <c r="A26" t="inlineStr">
        <is>
          <t>K0195</t>
        </is>
      </c>
      <c r="B26" t="inlineStr">
        <is>
          <t>M06A</t>
        </is>
      </c>
      <c r="C26" t="inlineStr">
        <is>
          <t>ELEVATING LEG RESTS, PAIR (FOR USE WITH CAPPED RENTAL WHEELCHAIR BASE)</t>
        </is>
      </c>
      <c r="D26" t="n">
        <v>3</v>
      </c>
      <c r="E26" t="n">
        <v>10.5</v>
      </c>
      <c r="O26">
        <f>IF(P26=H26,IF(ISBLANK(G26),"",F26&amp;" - "&amp;G26),IF(P26=K26,IF(ISBLANK(J26),"",I26&amp;" - "&amp;J26),IF(ISBLANK(M26),"",L26&amp;" - "&amp;M26)))</f>
        <v/>
      </c>
      <c r="P26">
        <f>MIN(H26,K26,N26)</f>
        <v/>
      </c>
      <c r="Q26">
        <f>D26*P26</f>
        <v/>
      </c>
      <c r="R26">
        <f>IF(ISBLANK(E26),0,D26*E26)</f>
        <v/>
      </c>
      <c r="S26">
        <f>IF(R26=0,0,(R26-Q26)/R26)</f>
        <v/>
      </c>
      <c r="T26" t="n">
        <v>60</v>
      </c>
      <c r="U26" t="inlineStr">
        <is>
          <t>LAUNCH_INVENTORY</t>
        </is>
      </c>
    </row>
    <row r="27">
      <c r="A27" t="inlineStr">
        <is>
          <t>E2219</t>
        </is>
      </c>
      <c r="B27" t="inlineStr">
        <is>
          <t>M06A</t>
        </is>
      </c>
      <c r="C27" t="inlineStr">
        <is>
          <t>MANUAL WHEELCHAIR ACCESSORY, FOAM CASTER TIRE, ANY SIZE, EACH</t>
        </is>
      </c>
      <c r="D27" t="n">
        <v>3</v>
      </c>
      <c r="E27" t="n">
        <v>39.97</v>
      </c>
      <c r="O27">
        <f>IF(P27=H27,IF(ISBLANK(G27),"",F27&amp;" - "&amp;G27),IF(P27=K27,IF(ISBLANK(J27),"",I27&amp;" - "&amp;J27),IF(ISBLANK(M27),"",L27&amp;" - "&amp;M27)))</f>
        <v/>
      </c>
      <c r="P27">
        <f>MIN(H27,K27,N27)</f>
        <v/>
      </c>
      <c r="Q27">
        <f>D27*P27</f>
        <v/>
      </c>
      <c r="R27">
        <f>IF(ISBLANK(E27),0,D27*E27)</f>
        <v/>
      </c>
      <c r="S27">
        <f>IF(R27=0,0,(R27-Q27)/R27)</f>
        <v/>
      </c>
      <c r="T27" t="n">
        <v>60</v>
      </c>
      <c r="U27" t="inlineStr">
        <is>
          <t>LAUNCH_INVENTORY</t>
        </is>
      </c>
    </row>
    <row r="28">
      <c r="A28" t="inlineStr">
        <is>
          <t>E2214</t>
        </is>
      </c>
      <c r="B28" t="inlineStr">
        <is>
          <t>M06A</t>
        </is>
      </c>
      <c r="C28" t="inlineStr">
        <is>
          <t>MANUAL WHEELCHAIR ACCESSORY, PNEUMATIC CASTER TIRE, ANY SIZE, EACH</t>
        </is>
      </c>
      <c r="D28" t="n">
        <v>3</v>
      </c>
      <c r="E28" t="n">
        <v>32.46</v>
      </c>
      <c r="O28">
        <f>IF(P28=H28,IF(ISBLANK(G28),"",F28&amp;" - "&amp;G28),IF(P28=K28,IF(ISBLANK(J28),"",I28&amp;" - "&amp;J28),IF(ISBLANK(M28),"",L28&amp;" - "&amp;M28)))</f>
        <v/>
      </c>
      <c r="P28">
        <f>MIN(H28,K28,N28)</f>
        <v/>
      </c>
      <c r="Q28">
        <f>D28*P28</f>
        <v/>
      </c>
      <c r="R28">
        <f>IF(ISBLANK(E28),0,D28*E28)</f>
        <v/>
      </c>
      <c r="S28">
        <f>IF(R28=0,0,(R28-Q28)/R28)</f>
        <v/>
      </c>
      <c r="T28" t="n">
        <v>60</v>
      </c>
      <c r="U28" t="inlineStr">
        <is>
          <t>LAUNCH_INVENTORY</t>
        </is>
      </c>
    </row>
    <row r="29">
      <c r="A29" t="inlineStr">
        <is>
          <t>E2213</t>
        </is>
      </c>
      <c r="B29" t="inlineStr">
        <is>
          <t>M06A</t>
        </is>
      </c>
      <c r="C29" t="inlineStr">
        <is>
          <t>MANUAL WHEELCHAIR ACCESSORY, INSERT FOR PNEUMATIC PROPULSION TIRE (REMOVABLE), ANY TYPE, ANY SIZE, EACH</t>
        </is>
      </c>
      <c r="D29" t="n">
        <v>3</v>
      </c>
      <c r="E29" t="n">
        <v>31.23</v>
      </c>
      <c r="O29">
        <f>IF(P29=H29,IF(ISBLANK(G29),"",F29&amp;" - "&amp;G29),IF(P29=K29,IF(ISBLANK(J29),"",I29&amp;" - "&amp;J29),IF(ISBLANK(M29),"",L29&amp;" - "&amp;M29)))</f>
        <v/>
      </c>
      <c r="P29">
        <f>MIN(H29,K29,N29)</f>
        <v/>
      </c>
      <c r="Q29">
        <f>D29*P29</f>
        <v/>
      </c>
      <c r="R29">
        <f>IF(ISBLANK(E29),0,D29*E29)</f>
        <v/>
      </c>
      <c r="S29">
        <f>IF(R29=0,0,(R29-Q29)/R29)</f>
        <v/>
      </c>
      <c r="T29" t="n">
        <v>60</v>
      </c>
      <c r="U29" t="inlineStr">
        <is>
          <t>LAUNCH_INVENTORY</t>
        </is>
      </c>
    </row>
    <row r="30">
      <c r="A30" t="inlineStr">
        <is>
          <t>E0953</t>
        </is>
      </c>
      <c r="B30" t="inlineStr">
        <is>
          <t>M06A</t>
        </is>
      </c>
      <c r="C30" t="inlineStr">
        <is>
          <t>WHEELCHAIR ACCESSORY, LATERAL THIGH OR KNEE SUPPORT, ANY TYPE INCLUDING FIXED MOUNTING HARDWARE, EACH</t>
        </is>
      </c>
      <c r="D30" t="n">
        <v>3</v>
      </c>
      <c r="E30" t="n">
        <v>87.14</v>
      </c>
      <c r="O30">
        <f>IF(P30=H30,IF(ISBLANK(G30),"",F30&amp;" - "&amp;G30),IF(P30=K30,IF(ISBLANK(J30),"",I30&amp;" - "&amp;J30),IF(ISBLANK(M30),"",L30&amp;" - "&amp;M30)))</f>
        <v/>
      </c>
      <c r="P30">
        <f>MIN(H30,K30,N30)</f>
        <v/>
      </c>
      <c r="Q30">
        <f>D30*P30</f>
        <v/>
      </c>
      <c r="R30">
        <f>IF(ISBLANK(E30),0,D30*E30)</f>
        <v/>
      </c>
      <c r="S30">
        <f>IF(R30=0,0,(R30-Q30)/R30)</f>
        <v/>
      </c>
      <c r="T30" t="n">
        <v>60</v>
      </c>
      <c r="U30" t="inlineStr">
        <is>
          <t>LAUNCH_INVENTORY</t>
        </is>
      </c>
    </row>
    <row r="31">
      <c r="A31" t="inlineStr">
        <is>
          <t>E2226</t>
        </is>
      </c>
      <c r="B31" t="inlineStr">
        <is>
          <t>M06A</t>
        </is>
      </c>
      <c r="C31" t="inlineStr">
        <is>
          <t>MANUAL WHEELCHAIR ACCESSORY, CASTER FORK, ANY SIZE, REPLACEMENT ONLY, EACH</t>
        </is>
      </c>
      <c r="D31" t="n">
        <v>3</v>
      </c>
      <c r="E31" t="n">
        <v>42.47</v>
      </c>
      <c r="O31">
        <f>IF(P31=H31,IF(ISBLANK(G31),"",F31&amp;" - "&amp;G31),IF(P31=K31,IF(ISBLANK(J31),"",I31&amp;" - "&amp;J31),IF(ISBLANK(M31),"",L31&amp;" - "&amp;M31)))</f>
        <v/>
      </c>
      <c r="P31">
        <f>MIN(H31,K31,N31)</f>
        <v/>
      </c>
      <c r="Q31">
        <f>D31*P31</f>
        <v/>
      </c>
      <c r="R31">
        <f>IF(ISBLANK(E31),0,D31*E31)</f>
        <v/>
      </c>
      <c r="S31">
        <f>IF(R31=0,0,(R31-Q31)/R31)</f>
        <v/>
      </c>
      <c r="T31" t="n">
        <v>60</v>
      </c>
      <c r="U31" t="inlineStr">
        <is>
          <t>LAUNCH_INVENTORY</t>
        </is>
      </c>
    </row>
    <row r="32">
      <c r="A32" t="inlineStr">
        <is>
          <t>K0044</t>
        </is>
      </c>
      <c r="B32" t="inlineStr">
        <is>
          <t>M06A</t>
        </is>
      </c>
      <c r="C32" t="inlineStr">
        <is>
          <t>FOOTREST, UPPER HANGER BRACKET, REPLACEMENT ONLY, EACH</t>
        </is>
      </c>
      <c r="D32" t="n">
        <v>3</v>
      </c>
      <c r="E32" t="n">
        <v>20.04</v>
      </c>
      <c r="O32">
        <f>IF(P32=H32,IF(ISBLANK(G32),"",F32&amp;" - "&amp;G32),IF(P32=K32,IF(ISBLANK(J32),"",I32&amp;" - "&amp;J32),IF(ISBLANK(M32),"",L32&amp;" - "&amp;M32)))</f>
        <v/>
      </c>
      <c r="P32">
        <f>MIN(H32,K32,N32)</f>
        <v/>
      </c>
      <c r="Q32">
        <f>D32*P32</f>
        <v/>
      </c>
      <c r="R32">
        <f>IF(ISBLANK(E32),0,D32*E32)</f>
        <v/>
      </c>
      <c r="S32">
        <f>IF(R32=0,0,(R32-Q32)/R32)</f>
        <v/>
      </c>
      <c r="T32" t="n">
        <v>60</v>
      </c>
      <c r="U32" t="inlineStr">
        <is>
          <t>LAUNCH_INVENTORY</t>
        </is>
      </c>
    </row>
    <row r="33">
      <c r="A33" t="inlineStr">
        <is>
          <t>K0043</t>
        </is>
      </c>
      <c r="B33" t="inlineStr">
        <is>
          <t>M06A</t>
        </is>
      </c>
      <c r="C33" t="inlineStr">
        <is>
          <t>FOOTREST, LOWER EXTENSION TUBE, REPLACEMENT ONLY, EACH</t>
        </is>
      </c>
      <c r="D33" t="n">
        <v>3</v>
      </c>
      <c r="E33" t="n">
        <v>23.36</v>
      </c>
      <c r="O33">
        <f>IF(P33=H33,IF(ISBLANK(G33),"",F33&amp;" - "&amp;G33),IF(P33=K33,IF(ISBLANK(J33),"",I33&amp;" - "&amp;J33),IF(ISBLANK(M33),"",L33&amp;" - "&amp;M33)))</f>
        <v/>
      </c>
      <c r="P33">
        <f>MIN(H33,K33,N33)</f>
        <v/>
      </c>
      <c r="Q33">
        <f>D33*P33</f>
        <v/>
      </c>
      <c r="R33">
        <f>IF(ISBLANK(E33),0,D33*E33)</f>
        <v/>
      </c>
      <c r="S33">
        <f>IF(R33=0,0,(R33-Q33)/R33)</f>
        <v/>
      </c>
      <c r="T33" t="n">
        <v>60</v>
      </c>
      <c r="U33" t="inlineStr">
        <is>
          <t>LAUNCH_INVENTORY</t>
        </is>
      </c>
    </row>
    <row r="34">
      <c r="A34" t="inlineStr">
        <is>
          <t>K0042</t>
        </is>
      </c>
      <c r="B34" t="inlineStr">
        <is>
          <t>M06A</t>
        </is>
      </c>
      <c r="C34" t="inlineStr">
        <is>
          <t>STANDARD SIZE FOOTPLATE, REPLACEMENT ONLY, EACH</t>
        </is>
      </c>
      <c r="D34" t="n">
        <v>3</v>
      </c>
      <c r="E34" t="n">
        <v>37.84</v>
      </c>
      <c r="O34">
        <f>IF(P34=H34,IF(ISBLANK(G34),"",F34&amp;" - "&amp;G34),IF(P34=K34,IF(ISBLANK(J34),"",I34&amp;" - "&amp;J34),IF(ISBLANK(M34),"",L34&amp;" - "&amp;M34)))</f>
        <v/>
      </c>
      <c r="P34">
        <f>MIN(H34,K34,N34)</f>
        <v/>
      </c>
      <c r="Q34">
        <f>D34*P34</f>
        <v/>
      </c>
      <c r="R34">
        <f>IF(ISBLANK(E34),0,D34*E34)</f>
        <v/>
      </c>
      <c r="S34">
        <f>IF(R34=0,0,(R34-Q34)/R34)</f>
        <v/>
      </c>
      <c r="T34" t="n">
        <v>60</v>
      </c>
      <c r="U34" t="inlineStr">
        <is>
          <t>LAUNCH_INVENTORY</t>
        </is>
      </c>
    </row>
    <row r="35">
      <c r="A35" t="inlineStr">
        <is>
          <t>A6589</t>
        </is>
      </c>
      <c r="B35" t="inlineStr">
        <is>
          <t>S04</t>
        </is>
      </c>
      <c r="C35" t="inlineStr">
        <is>
          <t>GRADIENT PRESSURE WRAP WITH ADJUSTABLE STRAPS, BRA, EACH</t>
        </is>
      </c>
      <c r="D35" t="n">
        <v>3</v>
      </c>
      <c r="E35" t="n">
        <v>93.73999999999999</v>
      </c>
      <c r="O35">
        <f>IF(P35=H35,IF(ISBLANK(G35),"",F35&amp;" - "&amp;G35),IF(P35=K35,IF(ISBLANK(J35),"",I35&amp;" - "&amp;J35),IF(ISBLANK(M35),"",L35&amp;" - "&amp;M35)))</f>
        <v/>
      </c>
      <c r="P35">
        <f>MIN(H35,K35,N35)</f>
        <v/>
      </c>
      <c r="Q35">
        <f>D35*P35</f>
        <v/>
      </c>
      <c r="R35">
        <f>IF(ISBLANK(E35),0,D35*E35)</f>
        <v/>
      </c>
      <c r="S35">
        <f>IF(R35=0,0,(R35-Q35)/R35)</f>
        <v/>
      </c>
      <c r="T35" t="n">
        <v>60</v>
      </c>
      <c r="U35" t="inlineStr">
        <is>
          <t>LAUNCH_INVENTORY</t>
        </is>
      </c>
    </row>
    <row r="36">
      <c r="A36" t="inlineStr">
        <is>
          <t>A6588</t>
        </is>
      </c>
      <c r="B36" t="inlineStr">
        <is>
          <t>S04</t>
        </is>
      </c>
      <c r="C36" t="inlineStr">
        <is>
          <t>GRADIENT COMPRESSION WRAP WITH ADJUSTABLE STRAPS, ARM, EACH</t>
        </is>
      </c>
      <c r="D36" t="n">
        <v>3</v>
      </c>
      <c r="E36" t="n">
        <v>237.46</v>
      </c>
      <c r="O36">
        <f>IF(P36=H36,IF(ISBLANK(G36),"",F36&amp;" - "&amp;G36),IF(P36=K36,IF(ISBLANK(J36),"",I36&amp;" - "&amp;J36),IF(ISBLANK(M36),"",L36&amp;" - "&amp;M36)))</f>
        <v/>
      </c>
      <c r="P36">
        <f>MIN(H36,K36,N36)</f>
        <v/>
      </c>
      <c r="Q36">
        <f>D36*P36</f>
        <v/>
      </c>
      <c r="R36">
        <f>IF(ISBLANK(E36),0,D36*E36)</f>
        <v/>
      </c>
      <c r="S36">
        <f>IF(R36=0,0,(R36-Q36)/R36)</f>
        <v/>
      </c>
      <c r="T36" t="n">
        <v>60</v>
      </c>
      <c r="U36" t="inlineStr">
        <is>
          <t>LAUNCH_INVENTORY</t>
        </is>
      </c>
    </row>
    <row r="37">
      <c r="A37" t="inlineStr">
        <is>
          <t>A6587</t>
        </is>
      </c>
      <c r="B37" t="inlineStr">
        <is>
          <t>S04</t>
        </is>
      </c>
      <c r="C37" t="inlineStr">
        <is>
          <t>GRADIENT COMPRESSION WRAP WITH ADJUSTABLE STRAPS, FOOT, EACH</t>
        </is>
      </c>
      <c r="D37" t="n">
        <v>3</v>
      </c>
      <c r="E37" t="n">
        <v>71.25</v>
      </c>
      <c r="O37">
        <f>IF(P37=H37,IF(ISBLANK(G37),"",F37&amp;" - "&amp;G37),IF(P37=K37,IF(ISBLANK(J37),"",I37&amp;" - "&amp;J37),IF(ISBLANK(M37),"",L37&amp;" - "&amp;M37)))</f>
        <v/>
      </c>
      <c r="P37">
        <f>MIN(H37,K37,N37)</f>
        <v/>
      </c>
      <c r="Q37">
        <f>D37*P37</f>
        <v/>
      </c>
      <c r="R37">
        <f>IF(ISBLANK(E37),0,D37*E37)</f>
        <v/>
      </c>
      <c r="S37">
        <f>IF(R37=0,0,(R37-Q37)/R37)</f>
        <v/>
      </c>
      <c r="T37" t="n">
        <v>60</v>
      </c>
      <c r="U37" t="inlineStr">
        <is>
          <t>LAUNCH_INVENTORY</t>
        </is>
      </c>
    </row>
    <row r="38">
      <c r="A38" t="inlineStr">
        <is>
          <t>A4452</t>
        </is>
      </c>
      <c r="B38" t="inlineStr">
        <is>
          <t>S01</t>
        </is>
      </c>
      <c r="C38" t="inlineStr">
        <is>
          <t>TAPE, WATERPROOF, PER 18 SQUARE INCHES</t>
        </is>
      </c>
      <c r="D38" t="n">
        <v>3</v>
      </c>
      <c r="E38" t="n">
        <v>0.49</v>
      </c>
      <c r="O38">
        <f>IF(P38=H38,IF(ISBLANK(G38),"",F38&amp;" - "&amp;G38),IF(P38=K38,IF(ISBLANK(J38),"",I38&amp;" - "&amp;J38),IF(ISBLANK(M38),"",L38&amp;" - "&amp;M38)))</f>
        <v/>
      </c>
      <c r="P38">
        <f>MIN(H38,K38,N38)</f>
        <v/>
      </c>
      <c r="Q38">
        <f>D38*P38</f>
        <v/>
      </c>
      <c r="R38">
        <f>IF(ISBLANK(E38),0,D38*E38)</f>
        <v/>
      </c>
      <c r="S38">
        <f>IF(R38=0,0,(R38-Q38)/R38)</f>
        <v/>
      </c>
      <c r="T38" t="n">
        <v>60</v>
      </c>
      <c r="U38" t="inlineStr">
        <is>
          <t>LAUNCH_INVENTORY</t>
        </is>
      </c>
    </row>
    <row r="39">
      <c r="A39" t="inlineStr">
        <is>
          <t>A6022</t>
        </is>
      </c>
      <c r="B39" t="inlineStr">
        <is>
          <t>S01</t>
        </is>
      </c>
      <c r="C39" t="inlineStr">
        <is>
          <t>COLLAGEN DRESSING, STERILE, SIZE MORE THAN 16 SQ. IN. BUT LESS THAN OR EQUAL TO 48 SQ. IN., EACH</t>
        </is>
      </c>
      <c r="D39" t="n">
        <v>3</v>
      </c>
      <c r="E39" t="n">
        <v>29.38</v>
      </c>
      <c r="O39">
        <f>IF(P39=H39,IF(ISBLANK(G39),"",F39&amp;" - "&amp;G39),IF(P39=K39,IF(ISBLANK(J39),"",I39&amp;" - "&amp;J39),IF(ISBLANK(M39),"",L39&amp;" - "&amp;M39)))</f>
        <v/>
      </c>
      <c r="P39">
        <f>MIN(H39,K39,N39)</f>
        <v/>
      </c>
      <c r="Q39">
        <f>D39*P39</f>
        <v/>
      </c>
      <c r="R39">
        <f>IF(ISBLANK(E39),0,D39*E39)</f>
        <v/>
      </c>
      <c r="S39">
        <f>IF(R39=0,0,(R39-Q39)/R39)</f>
        <v/>
      </c>
      <c r="T39" t="n">
        <v>60</v>
      </c>
      <c r="U39" t="inlineStr">
        <is>
          <t>LAUNCH_INVENTORY</t>
        </is>
      </c>
    </row>
    <row r="40">
      <c r="A40" t="inlineStr">
        <is>
          <t>K0019</t>
        </is>
      </c>
      <c r="B40" t="inlineStr">
        <is>
          <t>M06A</t>
        </is>
      </c>
      <c r="C40" t="inlineStr">
        <is>
          <t>ARM PAD, REPLACEMENT ONLY, EACH</t>
        </is>
      </c>
      <c r="D40" t="n">
        <v>3</v>
      </c>
      <c r="E40" t="n">
        <v>17.48</v>
      </c>
      <c r="O40">
        <f>IF(P40=H40,IF(ISBLANK(G40),"",F40&amp;" - "&amp;G40),IF(P40=K40,IF(ISBLANK(J40),"",I40&amp;" - "&amp;J40),IF(ISBLANK(M40),"",L40&amp;" - "&amp;M40)))</f>
        <v/>
      </c>
      <c r="P40">
        <f>MIN(H40,K40,N40)</f>
        <v/>
      </c>
      <c r="Q40">
        <f>D40*P40</f>
        <v/>
      </c>
      <c r="R40">
        <f>IF(ISBLANK(E40),0,D40*E40)</f>
        <v/>
      </c>
      <c r="S40">
        <f>IF(R40=0,0,(R40-Q40)/R40)</f>
        <v/>
      </c>
      <c r="T40" t="n">
        <v>60</v>
      </c>
      <c r="U40" t="inlineStr">
        <is>
          <t>LAUNCH_INVENTORY</t>
        </is>
      </c>
    </row>
    <row r="41">
      <c r="A41" t="inlineStr">
        <is>
          <t>K0018</t>
        </is>
      </c>
      <c r="B41" t="inlineStr">
        <is>
          <t>M06A</t>
        </is>
      </c>
      <c r="C41" t="inlineStr">
        <is>
          <t>DETACHABLE, ADJUSTABLE HEIGHT ARMREST, UPPER PORTION, REPLACEMENT ONLY, EACH</t>
        </is>
      </c>
      <c r="D41" t="n">
        <v>3</v>
      </c>
      <c r="E41" t="n">
        <v>32.47</v>
      </c>
      <c r="O41">
        <f>IF(P41=H41,IF(ISBLANK(G41),"",F41&amp;" - "&amp;G41),IF(P41=K41,IF(ISBLANK(J41),"",I41&amp;" - "&amp;J41),IF(ISBLANK(M41),"",L41&amp;" - "&amp;M41)))</f>
        <v/>
      </c>
      <c r="P41">
        <f>MIN(H41,K41,N41)</f>
        <v/>
      </c>
      <c r="Q41">
        <f>D41*P41</f>
        <v/>
      </c>
      <c r="R41">
        <f>IF(ISBLANK(E41),0,D41*E41)</f>
        <v/>
      </c>
      <c r="S41">
        <f>IF(R41=0,0,(R41-Q41)/R41)</f>
        <v/>
      </c>
      <c r="T41" t="n">
        <v>60</v>
      </c>
      <c r="U41" t="inlineStr">
        <is>
          <t>LAUNCH_INVENTORY</t>
        </is>
      </c>
    </row>
    <row r="42">
      <c r="A42" t="inlineStr">
        <is>
          <t>K0017</t>
        </is>
      </c>
      <c r="B42" t="inlineStr">
        <is>
          <t>M06A</t>
        </is>
      </c>
      <c r="C42" t="inlineStr">
        <is>
          <t>DETACHABLE, ADJUSTABLE HEIGHT ARMREST, BASE, REPLACEMENT ONLY, EACH</t>
        </is>
      </c>
      <c r="D42" t="n">
        <v>3</v>
      </c>
      <c r="E42" t="n">
        <v>57.45</v>
      </c>
      <c r="O42">
        <f>IF(P42=H42,IF(ISBLANK(G42),"",F42&amp;" - "&amp;G42),IF(P42=K42,IF(ISBLANK(J42),"",I42&amp;" - "&amp;J42),IF(ISBLANK(M42),"",L42&amp;" - "&amp;M42)))</f>
        <v/>
      </c>
      <c r="P42">
        <f>MIN(H42,K42,N42)</f>
        <v/>
      </c>
      <c r="Q42">
        <f>D42*P42</f>
        <v/>
      </c>
      <c r="R42">
        <f>IF(ISBLANK(E42),0,D42*E42)</f>
        <v/>
      </c>
      <c r="S42">
        <f>IF(R42=0,0,(R42-Q42)/R42)</f>
        <v/>
      </c>
      <c r="T42" t="n">
        <v>60</v>
      </c>
      <c r="U42" t="inlineStr">
        <is>
          <t>LAUNCH_INVENTORY</t>
        </is>
      </c>
    </row>
    <row r="43">
      <c r="A43" t="inlineStr">
        <is>
          <t>A6570</t>
        </is>
      </c>
      <c r="B43" t="inlineStr">
        <is>
          <t>S04</t>
        </is>
      </c>
      <c r="C43" t="inlineStr">
        <is>
          <t>GRADIENT COMPRESSION GARMENT, GENITAL REGION, EACH</t>
        </is>
      </c>
      <c r="D43" t="n">
        <v>3</v>
      </c>
      <c r="E43" t="n">
        <v>110.3</v>
      </c>
      <c r="O43">
        <f>IF(P43=H43,IF(ISBLANK(G43),"",F43&amp;" - "&amp;G43),IF(P43=K43,IF(ISBLANK(J43),"",I43&amp;" - "&amp;J43),IF(ISBLANK(M43),"",L43&amp;" - "&amp;M43)))</f>
        <v/>
      </c>
      <c r="P43">
        <f>MIN(H43,K43,N43)</f>
        <v/>
      </c>
      <c r="Q43">
        <f>D43*P43</f>
        <v/>
      </c>
      <c r="R43">
        <f>IF(ISBLANK(E43),0,D43*E43)</f>
        <v/>
      </c>
      <c r="S43">
        <f>IF(R43=0,0,(R43-Q43)/R43)</f>
        <v/>
      </c>
      <c r="T43" t="n">
        <v>60</v>
      </c>
      <c r="U43" t="inlineStr">
        <is>
          <t>LAUNCH_INVENTORY</t>
        </is>
      </c>
    </row>
    <row r="44">
      <c r="A44" t="inlineStr">
        <is>
          <t>A6569</t>
        </is>
      </c>
      <c r="B44" t="inlineStr">
        <is>
          <t>S04</t>
        </is>
      </c>
      <c r="C44" t="inlineStr">
        <is>
          <t>GRADIENT COMPRESSION GARMENT, TORSO/SHOULDER, CUSTOM, EACH</t>
        </is>
      </c>
      <c r="D44" t="n">
        <v>3</v>
      </c>
      <c r="E44" t="n">
        <v>921.85</v>
      </c>
      <c r="O44">
        <f>IF(P44=H44,IF(ISBLANK(G44),"",F44&amp;" - "&amp;G44),IF(P44=K44,IF(ISBLANK(J44),"",I44&amp;" - "&amp;J44),IF(ISBLANK(M44),"",L44&amp;" - "&amp;M44)))</f>
        <v/>
      </c>
      <c r="P44">
        <f>MIN(H44,K44,N44)</f>
        <v/>
      </c>
      <c r="Q44">
        <f>D44*P44</f>
        <v/>
      </c>
      <c r="R44">
        <f>IF(ISBLANK(E44),0,D44*E44)</f>
        <v/>
      </c>
      <c r="S44">
        <f>IF(R44=0,0,(R44-Q44)/R44)</f>
        <v/>
      </c>
      <c r="T44" t="n">
        <v>60</v>
      </c>
      <c r="U44" t="inlineStr">
        <is>
          <t>LAUNCH_INVENTORY</t>
        </is>
      </c>
    </row>
    <row r="45">
      <c r="A45" t="inlineStr">
        <is>
          <t>A6568</t>
        </is>
      </c>
      <c r="B45" t="inlineStr">
        <is>
          <t>S04</t>
        </is>
      </c>
      <c r="C45" t="inlineStr">
        <is>
          <t>GRADIENT COMPRESSION GARMENT, TORSO AND SHOULDER, EACH</t>
        </is>
      </c>
      <c r="D45" t="n">
        <v>3</v>
      </c>
      <c r="E45" t="n">
        <v>161.89</v>
      </c>
      <c r="O45">
        <f>IF(P45=H45,IF(ISBLANK(G45),"",F45&amp;" - "&amp;G45),IF(P45=K45,IF(ISBLANK(J45),"",I45&amp;" - "&amp;J45),IF(ISBLANK(M45),"",L45&amp;" - "&amp;M45)))</f>
        <v/>
      </c>
      <c r="P45">
        <f>MIN(H45,K45,N45)</f>
        <v/>
      </c>
      <c r="Q45">
        <f>D45*P45</f>
        <v/>
      </c>
      <c r="R45">
        <f>IF(ISBLANK(E45),0,D45*E45)</f>
        <v/>
      </c>
      <c r="S45">
        <f>IF(R45=0,0,(R45-Q45)/R45)</f>
        <v/>
      </c>
      <c r="T45" t="n">
        <v>60</v>
      </c>
      <c r="U45" t="inlineStr">
        <is>
          <t>LAUNCH_INVENTORY</t>
        </is>
      </c>
    </row>
    <row r="46">
      <c r="A46" t="inlineStr">
        <is>
          <t>A6583</t>
        </is>
      </c>
      <c r="B46" t="inlineStr">
        <is>
          <t>S04</t>
        </is>
      </c>
      <c r="C46" t="inlineStr">
        <is>
          <t>GRADIENT COMPRESSION WRAP WITH ADJUSTABLE STRAPS, BELOW KNEE, EACH</t>
        </is>
      </c>
      <c r="D46" t="n">
        <v>3</v>
      </c>
      <c r="E46" t="n">
        <v>155.92</v>
      </c>
      <c r="O46">
        <f>IF(P46=H46,IF(ISBLANK(G46),"",F46&amp;" - "&amp;G46),IF(P46=K46,IF(ISBLANK(J46),"",I46&amp;" - "&amp;J46),IF(ISBLANK(M46),"",L46&amp;" - "&amp;M46)))</f>
        <v/>
      </c>
      <c r="P46">
        <f>MIN(H46,K46,N46)</f>
        <v/>
      </c>
      <c r="Q46">
        <f>D46*P46</f>
        <v/>
      </c>
      <c r="R46">
        <f>IF(ISBLANK(E46),0,D46*E46)</f>
        <v/>
      </c>
      <c r="S46">
        <f>IF(R46=0,0,(R46-Q46)/R46)</f>
        <v/>
      </c>
      <c r="T46" t="n">
        <v>60</v>
      </c>
      <c r="U46" t="inlineStr">
        <is>
          <t>LAUNCH_INVENTORY</t>
        </is>
      </c>
    </row>
    <row r="47">
      <c r="A47" t="inlineStr">
        <is>
          <t>A6582</t>
        </is>
      </c>
      <c r="B47" t="inlineStr">
        <is>
          <t>S04</t>
        </is>
      </c>
      <c r="C47" t="inlineStr">
        <is>
          <t>GRADIENT COMPRESSION GAUNTLET, EACH</t>
        </is>
      </c>
      <c r="D47" t="n">
        <v>3</v>
      </c>
      <c r="E47" t="n">
        <v>47.4</v>
      </c>
      <c r="O47">
        <f>IF(P47=H47,IF(ISBLANK(G47),"",F47&amp;" - "&amp;G47),IF(P47=K47,IF(ISBLANK(J47),"",I47&amp;" - "&amp;J47),IF(ISBLANK(M47),"",L47&amp;" - "&amp;M47)))</f>
        <v/>
      </c>
      <c r="P47">
        <f>MIN(H47,K47,N47)</f>
        <v/>
      </c>
      <c r="Q47">
        <f>D47*P47</f>
        <v/>
      </c>
      <c r="R47">
        <f>IF(ISBLANK(E47),0,D47*E47)</f>
        <v/>
      </c>
      <c r="S47">
        <f>IF(R47=0,0,(R47-Q47)/R47)</f>
        <v/>
      </c>
      <c r="T47" t="n">
        <v>60</v>
      </c>
      <c r="U47" t="inlineStr">
        <is>
          <t>LAUNCH_INVENTORY</t>
        </is>
      </c>
    </row>
    <row r="48">
      <c r="A48" t="inlineStr">
        <is>
          <t>A6581</t>
        </is>
      </c>
      <c r="B48" t="inlineStr">
        <is>
          <t>S04</t>
        </is>
      </c>
      <c r="C48" t="inlineStr">
        <is>
          <t>GRADIENT COMPRESSION GLOVE, EACH</t>
        </is>
      </c>
      <c r="D48" t="n">
        <v>3</v>
      </c>
      <c r="E48" t="n">
        <v>71.06999999999999</v>
      </c>
      <c r="O48">
        <f>IF(P48=H48,IF(ISBLANK(G48),"",F48&amp;" - "&amp;G48),IF(P48=K48,IF(ISBLANK(J48),"",I48&amp;" - "&amp;J48),IF(ISBLANK(M48),"",L48&amp;" - "&amp;M48)))</f>
        <v/>
      </c>
      <c r="P48">
        <f>MIN(H48,K48,N48)</f>
        <v/>
      </c>
      <c r="Q48">
        <f>D48*P48</f>
        <v/>
      </c>
      <c r="R48">
        <f>IF(ISBLANK(E48),0,D48*E48)</f>
        <v/>
      </c>
      <c r="S48">
        <f>IF(R48=0,0,(R48-Q48)/R48)</f>
        <v/>
      </c>
      <c r="T48" t="n">
        <v>60</v>
      </c>
      <c r="U48" t="inlineStr">
        <is>
          <t>LAUNCH_INVENTORY</t>
        </is>
      </c>
    </row>
    <row r="49">
      <c r="A49" t="inlineStr">
        <is>
          <t>A6580</t>
        </is>
      </c>
      <c r="B49" t="inlineStr">
        <is>
          <t>S04</t>
        </is>
      </c>
      <c r="C49" t="inlineStr">
        <is>
          <t>GRADIENT  COMPRESSION GLOVE, CUSTOM, HEAVY WEIGHT, EACH</t>
        </is>
      </c>
      <c r="D49" t="n">
        <v>3</v>
      </c>
      <c r="E49" t="n">
        <v>302.78</v>
      </c>
      <c r="O49">
        <f>IF(P49=H49,IF(ISBLANK(G49),"",F49&amp;" - "&amp;G49),IF(P49=K49,IF(ISBLANK(J49),"",I49&amp;" - "&amp;J49),IF(ISBLANK(M49),"",L49&amp;" - "&amp;M49)))</f>
        <v/>
      </c>
      <c r="P49">
        <f>MIN(H49,K49,N49)</f>
        <v/>
      </c>
      <c r="Q49">
        <f>D49*P49</f>
        <v/>
      </c>
      <c r="R49">
        <f>IF(ISBLANK(E49),0,D49*E49)</f>
        <v/>
      </c>
      <c r="S49">
        <f>IF(R49=0,0,(R49-Q49)/R49)</f>
        <v/>
      </c>
      <c r="T49" t="n">
        <v>60</v>
      </c>
      <c r="U49" t="inlineStr">
        <is>
          <t>LAUNCH_INVENTORY</t>
        </is>
      </c>
    </row>
    <row r="50">
      <c r="A50" t="inlineStr">
        <is>
          <t>A6579</t>
        </is>
      </c>
      <c r="B50" t="inlineStr">
        <is>
          <t>S04</t>
        </is>
      </c>
      <c r="C50" t="inlineStr">
        <is>
          <t>GRADIENT COMPRESSION GLOVE, CUSTOM, MEDIUM WEIGHT, EACH</t>
        </is>
      </c>
      <c r="D50" t="n">
        <v>3</v>
      </c>
      <c r="E50" t="n">
        <v>305.02</v>
      </c>
      <c r="O50">
        <f>IF(P50=H50,IF(ISBLANK(G50),"",F50&amp;" - "&amp;G50),IF(P50=K50,IF(ISBLANK(J50),"",I50&amp;" - "&amp;J50),IF(ISBLANK(M50),"",L50&amp;" - "&amp;M50)))</f>
        <v/>
      </c>
      <c r="P50">
        <f>MIN(H50,K50,N50)</f>
        <v/>
      </c>
      <c r="Q50">
        <f>D50*P50</f>
        <v/>
      </c>
      <c r="R50">
        <f>IF(ISBLANK(E50),0,D50*E50)</f>
        <v/>
      </c>
      <c r="S50">
        <f>IF(R50=0,0,(R50-Q50)/R50)</f>
        <v/>
      </c>
      <c r="T50" t="n">
        <v>60</v>
      </c>
      <c r="U50" t="inlineStr">
        <is>
          <t>LAUNCH_INVENTORY</t>
        </is>
      </c>
    </row>
    <row r="51">
      <c r="A51" t="inlineStr">
        <is>
          <t>E0982</t>
        </is>
      </c>
      <c r="B51" t="inlineStr">
        <is>
          <t>M06A</t>
        </is>
      </c>
      <c r="C51" t="inlineStr">
        <is>
          <t>WHEELCHAIR ACCESSORY, BACK UPHOLSTERY, REPLACEMENT ONLY, EACH</t>
        </is>
      </c>
      <c r="D51" t="n">
        <v>3</v>
      </c>
      <c r="E51" t="n">
        <v>52.74</v>
      </c>
      <c r="O51">
        <f>IF(P51=H51,IF(ISBLANK(G51),"",F51&amp;" - "&amp;G51),IF(P51=K51,IF(ISBLANK(J51),"",I51&amp;" - "&amp;J51),IF(ISBLANK(M51),"",L51&amp;" - "&amp;M51)))</f>
        <v/>
      </c>
      <c r="P51">
        <f>MIN(H51,K51,N51)</f>
        <v/>
      </c>
      <c r="Q51">
        <f>D51*P51</f>
        <v/>
      </c>
      <c r="R51">
        <f>IF(ISBLANK(E51),0,D51*E51)</f>
        <v/>
      </c>
      <c r="S51">
        <f>IF(R51=0,0,(R51-Q51)/R51)</f>
        <v/>
      </c>
      <c r="T51" t="n">
        <v>60</v>
      </c>
      <c r="U51" t="inlineStr">
        <is>
          <t>LAUNCH_INVENTORY</t>
        </is>
      </c>
    </row>
    <row r="52">
      <c r="A52" t="inlineStr">
        <is>
          <t>A6244</t>
        </is>
      </c>
      <c r="B52" t="inlineStr">
        <is>
          <t>S01</t>
        </is>
      </c>
      <c r="C52" t="inlineStr">
        <is>
          <t>HYDROGEL DRESSING, WOUND COVER, STERILE, PAD SIZE MORE THAN 48 SQ. IN., WITHOUT ADHESIVE BORDER, EACH DRESSING</t>
        </is>
      </c>
      <c r="D52" t="n">
        <v>3</v>
      </c>
      <c r="E52" t="n">
        <v>54.89</v>
      </c>
      <c r="O52">
        <f>IF(P52=H52,IF(ISBLANK(G52),"",F52&amp;" - "&amp;G52),IF(P52=K52,IF(ISBLANK(J52),"",I52&amp;" - "&amp;J52),IF(ISBLANK(M52),"",L52&amp;" - "&amp;M52)))</f>
        <v/>
      </c>
      <c r="P52">
        <f>MIN(H52,K52,N52)</f>
        <v/>
      </c>
      <c r="Q52">
        <f>D52*P52</f>
        <v/>
      </c>
      <c r="R52">
        <f>IF(ISBLANK(E52),0,D52*E52)</f>
        <v/>
      </c>
      <c r="S52">
        <f>IF(R52=0,0,(R52-Q52)/R52)</f>
        <v/>
      </c>
      <c r="T52" t="n">
        <v>60</v>
      </c>
      <c r="U52" t="inlineStr">
        <is>
          <t>LAUNCH_INVENTORY</t>
        </is>
      </c>
    </row>
    <row r="53">
      <c r="A53" t="inlineStr">
        <is>
          <t>A6242</t>
        </is>
      </c>
      <c r="B53" t="inlineStr">
        <is>
          <t>S01</t>
        </is>
      </c>
      <c r="C53" t="inlineStr">
        <is>
          <t>HYDROGEL DRESSING, WOUND COVER, STERILE, PAD SIZE 16 SQ. IN. OR LESS, WITHOUT ADHESIVE BORDER, EACH DRESSING</t>
        </is>
      </c>
      <c r="D53" t="n">
        <v>3</v>
      </c>
      <c r="E53" t="n">
        <v>8.460000000000001</v>
      </c>
      <c r="O53">
        <f>IF(P53=H53,IF(ISBLANK(G53),"",F53&amp;" - "&amp;G53),IF(P53=K53,IF(ISBLANK(J53),"",I53&amp;" - "&amp;J53),IF(ISBLANK(M53),"",L53&amp;" - "&amp;M53)))</f>
        <v/>
      </c>
      <c r="P53">
        <f>MIN(H53,K53,N53)</f>
        <v/>
      </c>
      <c r="Q53">
        <f>D53*P53</f>
        <v/>
      </c>
      <c r="R53">
        <f>IF(ISBLANK(E53),0,D53*E53)</f>
        <v/>
      </c>
      <c r="S53">
        <f>IF(R53=0,0,(R53-Q53)/R53)</f>
        <v/>
      </c>
      <c r="T53" t="n">
        <v>60</v>
      </c>
      <c r="U53" t="inlineStr">
        <is>
          <t>LAUNCH_INVENTORY</t>
        </is>
      </c>
    </row>
    <row r="54">
      <c r="A54" t="inlineStr">
        <is>
          <t>A6241</t>
        </is>
      </c>
      <c r="B54" t="inlineStr">
        <is>
          <t>S01</t>
        </is>
      </c>
      <c r="C54" t="inlineStr">
        <is>
          <t>HYDROCOLLOID DRESSING, WOUND FILLER, DRY FORM, STERILE, PER GRAM</t>
        </is>
      </c>
      <c r="D54" t="n">
        <v>3</v>
      </c>
      <c r="E54" t="n">
        <v>3.59</v>
      </c>
      <c r="O54">
        <f>IF(P54=H54,IF(ISBLANK(G54),"",F54&amp;" - "&amp;G54),IF(P54=K54,IF(ISBLANK(J54),"",I54&amp;" - "&amp;J54),IF(ISBLANK(M54),"",L54&amp;" - "&amp;M54)))</f>
        <v/>
      </c>
      <c r="P54">
        <f>MIN(H54,K54,N54)</f>
        <v/>
      </c>
      <c r="Q54">
        <f>D54*P54</f>
        <v/>
      </c>
      <c r="R54">
        <f>IF(ISBLANK(E54),0,D54*E54)</f>
        <v/>
      </c>
      <c r="S54">
        <f>IF(R54=0,0,(R54-Q54)/R54)</f>
        <v/>
      </c>
      <c r="T54" t="n">
        <v>60</v>
      </c>
      <c r="U54" t="inlineStr">
        <is>
          <t>LAUNCH_INVENTORY</t>
        </is>
      </c>
    </row>
    <row r="55">
      <c r="A55" t="inlineStr">
        <is>
          <t>A6240</t>
        </is>
      </c>
      <c r="B55" t="inlineStr">
        <is>
          <t>S01</t>
        </is>
      </c>
      <c r="C55" t="inlineStr">
        <is>
          <t>HYDROCOLLOID DRESSING, WOUND FILLER, PASTE, STERILE, PER OUNCE</t>
        </is>
      </c>
      <c r="D55" t="n">
        <v>3</v>
      </c>
      <c r="E55" t="n">
        <v>17.11</v>
      </c>
      <c r="O55">
        <f>IF(P55=H55,IF(ISBLANK(G55),"",F55&amp;" - "&amp;G55),IF(P55=K55,IF(ISBLANK(J55),"",I55&amp;" - "&amp;J55),IF(ISBLANK(M55),"",L55&amp;" - "&amp;M55)))</f>
        <v/>
      </c>
      <c r="P55">
        <f>MIN(H55,K55,N55)</f>
        <v/>
      </c>
      <c r="Q55">
        <f>D55*P55</f>
        <v/>
      </c>
      <c r="R55">
        <f>IF(ISBLANK(E55),0,D55*E55)</f>
        <v/>
      </c>
      <c r="S55">
        <f>IF(R55=0,0,(R55-Q55)/R55)</f>
        <v/>
      </c>
      <c r="T55" t="n">
        <v>60</v>
      </c>
      <c r="U55" t="inlineStr">
        <is>
          <t>LAUNCH_INVENTORY</t>
        </is>
      </c>
    </row>
    <row r="56">
      <c r="A56" t="inlineStr">
        <is>
          <t>E2222</t>
        </is>
      </c>
      <c r="B56" t="inlineStr">
        <is>
          <t>M06A</t>
        </is>
      </c>
      <c r="C56" t="inlineStr">
        <is>
          <t>MANUAL WHEELCHAIR ACCESSORY, SOLID (RUBBER/PLASTIC) CASTER TIRE WITH INTEGRATED WHEEL, ANY SIZE, REPLACEMENT ONLY, EACH</t>
        </is>
      </c>
      <c r="D56" t="n">
        <v>3</v>
      </c>
      <c r="E56" t="n">
        <v>23.73</v>
      </c>
      <c r="O56">
        <f>IF(P56=H56,IF(ISBLANK(G56),"",F56&amp;" - "&amp;G56),IF(P56=K56,IF(ISBLANK(J56),"",I56&amp;" - "&amp;J56),IF(ISBLANK(M56),"",L56&amp;" - "&amp;M56)))</f>
        <v/>
      </c>
      <c r="P56">
        <f>MIN(H56,K56,N56)</f>
        <v/>
      </c>
      <c r="Q56">
        <f>D56*P56</f>
        <v/>
      </c>
      <c r="R56">
        <f>IF(ISBLANK(E56),0,D56*E56)</f>
        <v/>
      </c>
      <c r="S56">
        <f>IF(R56=0,0,(R56-Q56)/R56)</f>
        <v/>
      </c>
      <c r="T56" t="n">
        <v>60</v>
      </c>
      <c r="U56" t="inlineStr">
        <is>
          <t>LAUNCH_INVENTORY</t>
        </is>
      </c>
    </row>
    <row r="57">
      <c r="A57" t="inlineStr">
        <is>
          <t>E2221</t>
        </is>
      </c>
      <c r="B57" t="inlineStr">
        <is>
          <t>M06A</t>
        </is>
      </c>
      <c r="C57" t="inlineStr">
        <is>
          <t>MANUAL WHEELCHAIR ACCESSORY, SOLID (RUBBER/PLASTIC) CASTER TIRE (REMOVABLE), ANY SIZE, REPLACEMENT ONLY, EACH</t>
        </is>
      </c>
      <c r="D57" t="n">
        <v>3</v>
      </c>
      <c r="E57" t="n">
        <v>28.73</v>
      </c>
      <c r="O57">
        <f>IF(P57=H57,IF(ISBLANK(G57),"",F57&amp;" - "&amp;G57),IF(P57=K57,IF(ISBLANK(J57),"",I57&amp;" - "&amp;J57),IF(ISBLANK(M57),"",L57&amp;" - "&amp;M57)))</f>
        <v/>
      </c>
      <c r="P57">
        <f>MIN(H57,K57,N57)</f>
        <v/>
      </c>
      <c r="Q57">
        <f>D57*P57</f>
        <v/>
      </c>
      <c r="R57">
        <f>IF(ISBLANK(E57),0,D57*E57)</f>
        <v/>
      </c>
      <c r="S57">
        <f>IF(R57=0,0,(R57-Q57)/R57)</f>
        <v/>
      </c>
      <c r="T57" t="n">
        <v>60</v>
      </c>
      <c r="U57" t="inlineStr">
        <is>
          <t>LAUNCH_INVENTORY</t>
        </is>
      </c>
    </row>
    <row r="58">
      <c r="A58" t="inlineStr">
        <is>
          <t>E2220</t>
        </is>
      </c>
      <c r="B58" t="inlineStr">
        <is>
          <t>M06A</t>
        </is>
      </c>
      <c r="C58" t="inlineStr">
        <is>
          <t>MANUAL WHEELCHAIR ACCESSORY, SOLID (RUBBER/PLASTIC) PROPULSION TIRE, ANY SIZE, REPLACEMENT ONLY, EACH</t>
        </is>
      </c>
      <c r="D58" t="n">
        <v>3</v>
      </c>
      <c r="E58" t="n">
        <v>29.97</v>
      </c>
      <c r="O58">
        <f>IF(P58=H58,IF(ISBLANK(G58),"",F58&amp;" - "&amp;G58),IF(P58=K58,IF(ISBLANK(J58),"",I58&amp;" - "&amp;J58),IF(ISBLANK(M58),"",L58&amp;" - "&amp;M58)))</f>
        <v/>
      </c>
      <c r="P58">
        <f>MIN(H58,K58,N58)</f>
        <v/>
      </c>
      <c r="Q58">
        <f>D58*P58</f>
        <v/>
      </c>
      <c r="R58">
        <f>IF(ISBLANK(E58),0,D58*E58)</f>
        <v/>
      </c>
      <c r="S58">
        <f>IF(R58=0,0,(R58-Q58)/R58)</f>
        <v/>
      </c>
      <c r="T58" t="n">
        <v>60</v>
      </c>
      <c r="U58" t="inlineStr">
        <is>
          <t>LAUNCH_INVENTORY</t>
        </is>
      </c>
    </row>
    <row r="59">
      <c r="A59" t="inlineStr">
        <is>
          <t>E2212</t>
        </is>
      </c>
      <c r="B59" t="inlineStr">
        <is>
          <t>M06A</t>
        </is>
      </c>
      <c r="C59" t="inlineStr">
        <is>
          <t>MANUAL WHEELCHAIR ACCESSORY, TUBE FOR PNEUMATIC PROPULSION TIRE, ANY SIZE, EACH</t>
        </is>
      </c>
      <c r="D59" t="n">
        <v>3</v>
      </c>
      <c r="E59" t="n">
        <v>6.31</v>
      </c>
      <c r="O59">
        <f>IF(P59=H59,IF(ISBLANK(G59),"",F59&amp;" - "&amp;G59),IF(P59=K59,IF(ISBLANK(J59),"",I59&amp;" - "&amp;J59),IF(ISBLANK(M59),"",L59&amp;" - "&amp;M59)))</f>
        <v/>
      </c>
      <c r="P59">
        <f>MIN(H59,K59,N59)</f>
        <v/>
      </c>
      <c r="Q59">
        <f>D59*P59</f>
        <v/>
      </c>
      <c r="R59">
        <f>IF(ISBLANK(E59),0,D59*E59)</f>
        <v/>
      </c>
      <c r="S59">
        <f>IF(R59=0,0,(R59-Q59)/R59)</f>
        <v/>
      </c>
      <c r="T59" t="n">
        <v>60</v>
      </c>
      <c r="U59" t="inlineStr">
        <is>
          <t>LAUNCH_INVENTORY</t>
        </is>
      </c>
    </row>
    <row r="60">
      <c r="A60" t="inlineStr">
        <is>
          <t>E2228</t>
        </is>
      </c>
      <c r="B60" t="inlineStr">
        <is>
          <t>M06A</t>
        </is>
      </c>
      <c r="C60" t="inlineStr">
        <is>
          <t>MANUAL WHEELCHAIR ACCESSORY, WHEEL BRAKING SYSTEM AND LOCK, COMPLETE, EACH</t>
        </is>
      </c>
      <c r="D60" t="n">
        <v>3</v>
      </c>
      <c r="E60" t="n">
        <v>103.85</v>
      </c>
      <c r="O60">
        <f>IF(P60=H60,IF(ISBLANK(G60),"",F60&amp;" - "&amp;G60),IF(P60=K60,IF(ISBLANK(J60),"",I60&amp;" - "&amp;J60),IF(ISBLANK(M60),"",L60&amp;" - "&amp;M60)))</f>
        <v/>
      </c>
      <c r="P60">
        <f>MIN(H60,K60,N60)</f>
        <v/>
      </c>
      <c r="Q60">
        <f>D60*P60</f>
        <v/>
      </c>
      <c r="R60">
        <f>IF(ISBLANK(E60),0,D60*E60)</f>
        <v/>
      </c>
      <c r="S60">
        <f>IF(R60=0,0,(R60-Q60)/R60)</f>
        <v/>
      </c>
      <c r="T60" t="n">
        <v>60</v>
      </c>
      <c r="U60" t="inlineStr">
        <is>
          <t>LAUNCH_INVENTORY</t>
        </is>
      </c>
    </row>
    <row r="61">
      <c r="A61" t="inlineStr">
        <is>
          <t>K0045</t>
        </is>
      </c>
      <c r="B61" t="inlineStr">
        <is>
          <t>M06A</t>
        </is>
      </c>
      <c r="C61" t="inlineStr">
        <is>
          <t>FOOTREST, COMPLETE ASSEMBLY, REPLACEMENT ONLY, EACH</t>
        </is>
      </c>
      <c r="D61" t="n">
        <v>3</v>
      </c>
      <c r="E61" t="n">
        <v>66.84999999999999</v>
      </c>
      <c r="O61">
        <f>IF(P61=H61,IF(ISBLANK(G61),"",F61&amp;" - "&amp;G61),IF(P61=K61,IF(ISBLANK(J61),"",I61&amp;" - "&amp;J61),IF(ISBLANK(M61),"",L61&amp;" - "&amp;M61)))</f>
        <v/>
      </c>
      <c r="P61">
        <f>MIN(H61,K61,N61)</f>
        <v/>
      </c>
      <c r="Q61">
        <f>D61*P61</f>
        <v/>
      </c>
      <c r="R61">
        <f>IF(ISBLANK(E61),0,D61*E61)</f>
        <v/>
      </c>
      <c r="S61">
        <f>IF(R61=0,0,(R61-Q61)/R61)</f>
        <v/>
      </c>
      <c r="T61" t="n">
        <v>60</v>
      </c>
      <c r="U61" t="inlineStr">
        <is>
          <t>LAUNCH_INVENTORY</t>
        </is>
      </c>
    </row>
    <row r="62">
      <c r="A62" t="inlineStr">
        <is>
          <t>K0039</t>
        </is>
      </c>
      <c r="B62" t="inlineStr">
        <is>
          <t>M06A</t>
        </is>
      </c>
      <c r="C62" t="inlineStr">
        <is>
          <t>LEG STRAP, H STYLE, EACH</t>
        </is>
      </c>
      <c r="D62" t="n">
        <v>3</v>
      </c>
      <c r="E62" t="n">
        <v>61.65</v>
      </c>
      <c r="O62">
        <f>IF(P62=H62,IF(ISBLANK(G62),"",F62&amp;" - "&amp;G62),IF(P62=K62,IF(ISBLANK(J62),"",I62&amp;" - "&amp;J62),IF(ISBLANK(M62),"",L62&amp;" - "&amp;M62)))</f>
        <v/>
      </c>
      <c r="P62">
        <f>MIN(H62,K62,N62)</f>
        <v/>
      </c>
      <c r="Q62">
        <f>D62*P62</f>
        <v/>
      </c>
      <c r="R62">
        <f>IF(ISBLANK(E62),0,D62*E62)</f>
        <v/>
      </c>
      <c r="S62">
        <f>IF(R62=0,0,(R62-Q62)/R62)</f>
        <v/>
      </c>
      <c r="T62" t="n">
        <v>60</v>
      </c>
      <c r="U62" t="inlineStr">
        <is>
          <t>LAUNCH_INVENTORY</t>
        </is>
      </c>
    </row>
    <row r="63">
      <c r="A63" t="inlineStr">
        <is>
          <t>E2224</t>
        </is>
      </c>
      <c r="B63" t="inlineStr">
        <is>
          <t>M06A</t>
        </is>
      </c>
      <c r="C63" t="inlineStr">
        <is>
          <t>MANUAL WHEELCHAIR ACCESSORY, PROPULSION WHEEL EXCLUDES TIRE, ANY SIZE, REPLACEMENT ONLY, EACH</t>
        </is>
      </c>
      <c r="D63" t="n">
        <v>3</v>
      </c>
      <c r="E63" t="n">
        <v>101.18</v>
      </c>
      <c r="O63">
        <f>IF(P63=H63,IF(ISBLANK(G63),"",F63&amp;" - "&amp;G63),IF(P63=K63,IF(ISBLANK(J63),"",I63&amp;" - "&amp;J63),IF(ISBLANK(M63),"",L63&amp;" - "&amp;M63)))</f>
        <v/>
      </c>
      <c r="P63">
        <f>MIN(H63,K63,N63)</f>
        <v/>
      </c>
      <c r="Q63">
        <f>D63*P63</f>
        <v/>
      </c>
      <c r="R63">
        <f>IF(ISBLANK(E63),0,D63*E63)</f>
        <v/>
      </c>
      <c r="S63">
        <f>IF(R63=0,0,(R63-Q63)/R63)</f>
        <v/>
      </c>
      <c r="T63" t="n">
        <v>60</v>
      </c>
      <c r="U63" t="inlineStr">
        <is>
          <t>LAUNCH_INVENTORY</t>
        </is>
      </c>
    </row>
    <row r="64">
      <c r="A64" t="inlineStr">
        <is>
          <t>E0961</t>
        </is>
      </c>
      <c r="B64" t="inlineStr">
        <is>
          <t>M06A</t>
        </is>
      </c>
      <c r="C64" t="inlineStr">
        <is>
          <t>MANUAL WHEELCHAIR ACCESSORY, WHEEL LOCK BRAKE EXTENSION (HANDLE), EACH</t>
        </is>
      </c>
      <c r="D64" t="n">
        <v>3</v>
      </c>
      <c r="E64" t="n">
        <v>19.97</v>
      </c>
      <c r="O64">
        <f>IF(P64=H64,IF(ISBLANK(G64),"",F64&amp;" - "&amp;G64),IF(P64=K64,IF(ISBLANK(J64),"",I64&amp;" - "&amp;J64),IF(ISBLANK(M64),"",L64&amp;" - "&amp;M64)))</f>
        <v/>
      </c>
      <c r="P64">
        <f>MIN(H64,K64,N64)</f>
        <v/>
      </c>
      <c r="Q64">
        <f>D64*P64</f>
        <v/>
      </c>
      <c r="R64">
        <f>IF(ISBLANK(E64),0,D64*E64)</f>
        <v/>
      </c>
      <c r="S64">
        <f>IF(R64=0,0,(R64-Q64)/R64)</f>
        <v/>
      </c>
      <c r="T64" t="n">
        <v>60</v>
      </c>
      <c r="U64" t="inlineStr">
        <is>
          <t>LAUNCH_INVENTORY</t>
        </is>
      </c>
    </row>
    <row r="65">
      <c r="A65" t="inlineStr">
        <is>
          <t>E0954</t>
        </is>
      </c>
      <c r="B65" t="inlineStr">
        <is>
          <t>M06A</t>
        </is>
      </c>
      <c r="C65" t="inlineStr">
        <is>
          <t>WHEELCHAIR ACCESSORY, FOOT BOX, ANY TYPE, INCLUDES ATTACHMENT AND MOUNTING HARDWARE, EACH FOOT</t>
        </is>
      </c>
      <c r="D65" t="n">
        <v>3</v>
      </c>
      <c r="E65" t="n">
        <v>63.39</v>
      </c>
      <c r="O65">
        <f>IF(P65=H65,IF(ISBLANK(G65),"",F65&amp;" - "&amp;G65),IF(P65=K65,IF(ISBLANK(J65),"",I65&amp;" - "&amp;J65),IF(ISBLANK(M65),"",L65&amp;" - "&amp;M65)))</f>
        <v/>
      </c>
      <c r="P65">
        <f>MIN(H65,K65,N65)</f>
        <v/>
      </c>
      <c r="Q65">
        <f>D65*P65</f>
        <v/>
      </c>
      <c r="R65">
        <f>IF(ISBLANK(E65),0,D65*E65)</f>
        <v/>
      </c>
      <c r="S65">
        <f>IF(R65=0,0,(R65-Q65)/R65)</f>
        <v/>
      </c>
      <c r="T65" t="n">
        <v>60</v>
      </c>
      <c r="U65" t="inlineStr">
        <is>
          <t>LAUNCH_INVENTORY</t>
        </is>
      </c>
    </row>
    <row r="66">
      <c r="A66" t="inlineStr">
        <is>
          <t>E0988</t>
        </is>
      </c>
      <c r="B66" t="inlineStr">
        <is>
          <t>M06A</t>
        </is>
      </c>
      <c r="C66" t="inlineStr">
        <is>
          <t>MANUAL WHEELCHAIR ACCESSORY, LEVER-ACTIVATED, WHEEL DRIVE, PAIR</t>
        </is>
      </c>
      <c r="D66" t="n">
        <v>3</v>
      </c>
      <c r="E66" t="n">
        <v>402.16</v>
      </c>
      <c r="O66">
        <f>IF(P66=H66,IF(ISBLANK(G66),"",F66&amp;" - "&amp;G66),IF(P66=K66,IF(ISBLANK(J66),"",I66&amp;" - "&amp;J66),IF(ISBLANK(M66),"",L66&amp;" - "&amp;M66)))</f>
        <v/>
      </c>
      <c r="P66">
        <f>MIN(H66,K66,N66)</f>
        <v/>
      </c>
      <c r="Q66">
        <f>D66*P66</f>
        <v/>
      </c>
      <c r="R66">
        <f>IF(ISBLANK(E66),0,D66*E66)</f>
        <v/>
      </c>
      <c r="S66">
        <f>IF(R66=0,0,(R66-Q66)/R66)</f>
        <v/>
      </c>
      <c r="T66" t="n">
        <v>60</v>
      </c>
      <c r="U66" t="inlineStr">
        <is>
          <t>LAUNCH_INVENTORY</t>
        </is>
      </c>
    </row>
    <row r="67">
      <c r="A67" t="inlineStr">
        <is>
          <t>E0995</t>
        </is>
      </c>
      <c r="B67" t="inlineStr">
        <is>
          <t>M06A</t>
        </is>
      </c>
      <c r="C67" t="inlineStr">
        <is>
          <t>WHEELCHAIR ACCESSORY, CALF REST/PAD, REPLACEMENT ONLY, EACH</t>
        </is>
      </c>
      <c r="D67" t="n">
        <v>3</v>
      </c>
      <c r="E67" t="n">
        <v>31.12</v>
      </c>
      <c r="O67">
        <f>IF(P67=H67,IF(ISBLANK(G67),"",F67&amp;" - "&amp;G67),IF(P67=K67,IF(ISBLANK(J67),"",I67&amp;" - "&amp;J67),IF(ISBLANK(M67),"",L67&amp;" - "&amp;M67)))</f>
        <v/>
      </c>
      <c r="P67">
        <f>MIN(H67,K67,N67)</f>
        <v/>
      </c>
      <c r="Q67">
        <f>D67*P67</f>
        <v/>
      </c>
      <c r="R67">
        <f>IF(ISBLANK(E67),0,D67*E67)</f>
        <v/>
      </c>
      <c r="S67">
        <f>IF(R67=0,0,(R67-Q67)/R67)</f>
        <v/>
      </c>
      <c r="T67" t="n">
        <v>60</v>
      </c>
      <c r="U67" t="inlineStr">
        <is>
          <t>LAUNCH_INVENTORY</t>
        </is>
      </c>
    </row>
    <row r="68">
      <c r="A68" t="inlineStr">
        <is>
          <t>E0952</t>
        </is>
      </c>
      <c r="B68" t="inlineStr">
        <is>
          <t>M06A</t>
        </is>
      </c>
      <c r="C68" t="inlineStr">
        <is>
          <t>TOE LOOP/HOLDER, ANY TYPE, EACH</t>
        </is>
      </c>
      <c r="D68" t="n">
        <v>3</v>
      </c>
      <c r="E68" t="n">
        <v>20.19</v>
      </c>
      <c r="O68">
        <f>IF(P68=H68,IF(ISBLANK(G68),"",F68&amp;" - "&amp;G68),IF(P68=K68,IF(ISBLANK(J68),"",I68&amp;" - "&amp;J68),IF(ISBLANK(M68),"",L68&amp;" - "&amp;M68)))</f>
        <v/>
      </c>
      <c r="P68">
        <f>MIN(H68,K68,N68)</f>
        <v/>
      </c>
      <c r="Q68">
        <f>D68*P68</f>
        <v/>
      </c>
      <c r="R68">
        <f>IF(ISBLANK(E68),0,D68*E68)</f>
        <v/>
      </c>
      <c r="S68">
        <f>IF(R68=0,0,(R68-Q68)/R68)</f>
        <v/>
      </c>
      <c r="T68" t="n">
        <v>60</v>
      </c>
      <c r="U68" t="inlineStr">
        <is>
          <t>LAUNCH_INVENTORY</t>
        </is>
      </c>
    </row>
    <row r="69">
      <c r="A69" t="inlineStr">
        <is>
          <t>E0951</t>
        </is>
      </c>
      <c r="B69" t="inlineStr">
        <is>
          <t>M06A</t>
        </is>
      </c>
      <c r="C69" t="inlineStr">
        <is>
          <t>HEEL LOOP/HOLDER, ANY TYPE, WITH OR WITHOUT ANKLE STRAP, EACH</t>
        </is>
      </c>
      <c r="D69" t="n">
        <v>3</v>
      </c>
      <c r="E69" t="n">
        <v>13.05</v>
      </c>
      <c r="O69">
        <f>IF(P69=H69,IF(ISBLANK(G69),"",F69&amp;" - "&amp;G69),IF(P69=K69,IF(ISBLANK(J69),"",I69&amp;" - "&amp;J69),IF(ISBLANK(M69),"",L69&amp;" - "&amp;M69)))</f>
        <v/>
      </c>
      <c r="P69">
        <f>MIN(H69,K69,N69)</f>
        <v/>
      </c>
      <c r="Q69">
        <f>D69*P69</f>
        <v/>
      </c>
      <c r="R69">
        <f>IF(ISBLANK(E69),0,D69*E69)</f>
        <v/>
      </c>
      <c r="S69">
        <f>IF(R69=0,0,(R69-Q69)/R69)</f>
        <v/>
      </c>
      <c r="T69" t="n">
        <v>60</v>
      </c>
      <c r="U69" t="inlineStr">
        <is>
          <t>LAUNCH_INVENTORY</t>
        </is>
      </c>
    </row>
    <row r="70">
      <c r="A70" t="inlineStr">
        <is>
          <t>E0950</t>
        </is>
      </c>
      <c r="B70" t="inlineStr">
        <is>
          <t>M06A</t>
        </is>
      </c>
      <c r="C70" t="inlineStr">
        <is>
          <t>WHEELCHAIR ACCESSORY, TRAY, EACH</t>
        </is>
      </c>
      <c r="D70" t="n">
        <v>3</v>
      </c>
      <c r="E70" t="n">
        <v>81.18000000000001</v>
      </c>
      <c r="O70">
        <f>IF(P70=H70,IF(ISBLANK(G70),"",F70&amp;" - "&amp;G70),IF(P70=K70,IF(ISBLANK(J70),"",I70&amp;" - "&amp;J70),IF(ISBLANK(M70),"",L70&amp;" - "&amp;M70)))</f>
        <v/>
      </c>
      <c r="P70">
        <f>MIN(H70,K70,N70)</f>
        <v/>
      </c>
      <c r="Q70">
        <f>D70*P70</f>
        <v/>
      </c>
      <c r="R70">
        <f>IF(ISBLANK(E70),0,D70*E70)</f>
        <v/>
      </c>
      <c r="S70">
        <f>IF(R70=0,0,(R70-Q70)/R70)</f>
        <v/>
      </c>
      <c r="T70" t="n">
        <v>60</v>
      </c>
      <c r="U70" t="inlineStr">
        <is>
          <t>LAUNCH_INVENTORY</t>
        </is>
      </c>
    </row>
    <row r="71">
      <c r="A71" t="inlineStr">
        <is>
          <t>E0705</t>
        </is>
      </c>
      <c r="B71" t="inlineStr">
        <is>
          <t>M06A</t>
        </is>
      </c>
      <c r="C71" t="inlineStr">
        <is>
          <t>TRANSFER DEVICE, ANY TYPE, EACH</t>
        </is>
      </c>
      <c r="D71" t="n">
        <v>3</v>
      </c>
      <c r="E71" t="n">
        <v>49.97</v>
      </c>
      <c r="O71">
        <f>IF(P71=H71,IF(ISBLANK(G71),"",F71&amp;" - "&amp;G71),IF(P71=K71,IF(ISBLANK(J71),"",I71&amp;" - "&amp;J71),IF(ISBLANK(M71),"",L71&amp;" - "&amp;M71)))</f>
        <v/>
      </c>
      <c r="P71">
        <f>MIN(H71,K71,N71)</f>
        <v/>
      </c>
      <c r="Q71">
        <f>D71*P71</f>
        <v/>
      </c>
      <c r="R71">
        <f>IF(ISBLANK(E71),0,D71*E71)</f>
        <v/>
      </c>
      <c r="S71">
        <f>IF(R71=0,0,(R71-Q71)/R71)</f>
        <v/>
      </c>
      <c r="T71" t="n">
        <v>60</v>
      </c>
      <c r="U71" t="inlineStr">
        <is>
          <t>LAUNCH_INVENTORY</t>
        </is>
      </c>
    </row>
    <row r="72">
      <c r="A72" t="inlineStr">
        <is>
          <t>E0981</t>
        </is>
      </c>
      <c r="B72" t="inlineStr">
        <is>
          <t>M06A</t>
        </is>
      </c>
      <c r="C72" t="inlineStr">
        <is>
          <t>WHEELCHAIR ACCESSORY, SEAT UPHOLSTERY, REPLACEMENT ONLY, EACH</t>
        </is>
      </c>
      <c r="D72" t="n">
        <v>3</v>
      </c>
      <c r="E72" t="n">
        <v>50.61</v>
      </c>
      <c r="O72">
        <f>IF(P72=H72,IF(ISBLANK(G72),"",F72&amp;" - "&amp;G72),IF(P72=K72,IF(ISBLANK(J72),"",I72&amp;" - "&amp;J72),IF(ISBLANK(M72),"",L72&amp;" - "&amp;M72)))</f>
        <v/>
      </c>
      <c r="P72">
        <f>MIN(H72,K72,N72)</f>
        <v/>
      </c>
      <c r="Q72">
        <f>D72*P72</f>
        <v/>
      </c>
      <c r="R72">
        <f>IF(ISBLANK(E72),0,D72*E72)</f>
        <v/>
      </c>
      <c r="S72">
        <f>IF(R72=0,0,(R72-Q72)/R72)</f>
        <v/>
      </c>
      <c r="T72" t="n">
        <v>60</v>
      </c>
      <c r="U72" t="inlineStr">
        <is>
          <t>LAUNCH_INVENTORY</t>
        </is>
      </c>
    </row>
    <row r="73">
      <c r="A73" t="inlineStr">
        <is>
          <t>E0974</t>
        </is>
      </c>
      <c r="B73" t="inlineStr">
        <is>
          <t>M06A</t>
        </is>
      </c>
      <c r="C73" t="inlineStr">
        <is>
          <t>MANUAL WHEELCHAIR ACCESSORY, ANTI-ROLLBACK DEVICE, EACH</t>
        </is>
      </c>
      <c r="D73" t="n">
        <v>3</v>
      </c>
      <c r="E73" t="n">
        <v>71.53</v>
      </c>
      <c r="O73">
        <f>IF(P73=H73,IF(ISBLANK(G73),"",F73&amp;" - "&amp;G73),IF(P73=K73,IF(ISBLANK(J73),"",I73&amp;" - "&amp;J73),IF(ISBLANK(M73),"",L73&amp;" - "&amp;M73)))</f>
        <v/>
      </c>
      <c r="P73">
        <f>MIN(H73,K73,N73)</f>
        <v/>
      </c>
      <c r="Q73">
        <f>D73*P73</f>
        <v/>
      </c>
      <c r="R73">
        <f>IF(ISBLANK(E73),0,D73*E73)</f>
        <v/>
      </c>
      <c r="S73">
        <f>IF(R73=0,0,(R73-Q73)/R73)</f>
        <v/>
      </c>
      <c r="T73" t="n">
        <v>60</v>
      </c>
      <c r="U73" t="inlineStr">
        <is>
          <t>LAUNCH_INVENTORY</t>
        </is>
      </c>
    </row>
    <row r="74">
      <c r="A74" t="inlineStr">
        <is>
          <t>E0971</t>
        </is>
      </c>
      <c r="B74" t="inlineStr">
        <is>
          <t>M06A</t>
        </is>
      </c>
      <c r="C74" t="inlineStr">
        <is>
          <t>MANUAL WHEELCHAIR ACCESSORY, ANTI-TIPPING DEVICE, EACH</t>
        </is>
      </c>
      <c r="D74" t="n">
        <v>3</v>
      </c>
      <c r="E74" t="n">
        <v>33.75</v>
      </c>
      <c r="O74">
        <f>IF(P74=H74,IF(ISBLANK(G74),"",F74&amp;" - "&amp;G74),IF(P74=K74,IF(ISBLANK(J74),"",I74&amp;" - "&amp;J74),IF(ISBLANK(M74),"",L74&amp;" - "&amp;M74)))</f>
        <v/>
      </c>
      <c r="P74">
        <f>MIN(H74,K74,N74)</f>
        <v/>
      </c>
      <c r="Q74">
        <f>D74*P74</f>
        <v/>
      </c>
      <c r="R74">
        <f>IF(ISBLANK(E74),0,D74*E74)</f>
        <v/>
      </c>
      <c r="S74">
        <f>IF(R74=0,0,(R74-Q74)/R74)</f>
        <v/>
      </c>
      <c r="T74" t="n">
        <v>60</v>
      </c>
      <c r="U74" t="inlineStr">
        <is>
          <t>LAUNCH_INVENTORY</t>
        </is>
      </c>
    </row>
    <row r="75">
      <c r="A75" t="inlineStr">
        <is>
          <t>A6528</t>
        </is>
      </c>
      <c r="B75" t="inlineStr">
        <is>
          <t>S04</t>
        </is>
      </c>
      <c r="C75" t="inlineStr">
        <is>
          <t>GRADIENT COMPRESSION GARMENT, BRA, FOR NIGHTTIME USE, EACH</t>
        </is>
      </c>
      <c r="D75" t="n">
        <v>3</v>
      </c>
      <c r="E75" t="n">
        <v>648.9</v>
      </c>
      <c r="O75">
        <f>IF(P75=H75,IF(ISBLANK(G75),"",F75&amp;" - "&amp;G75),IF(P75=K75,IF(ISBLANK(J75),"",I75&amp;" - "&amp;J75),IF(ISBLANK(M75),"",L75&amp;" - "&amp;M75)))</f>
        <v/>
      </c>
      <c r="P75">
        <f>MIN(H75,K75,N75)</f>
        <v/>
      </c>
      <c r="Q75">
        <f>D75*P75</f>
        <v/>
      </c>
      <c r="R75">
        <f>IF(ISBLANK(E75),0,D75*E75)</f>
        <v/>
      </c>
      <c r="S75">
        <f>IF(R75=0,0,(R75-Q75)/R75)</f>
        <v/>
      </c>
      <c r="T75" t="n">
        <v>60</v>
      </c>
      <c r="U75" t="inlineStr">
        <is>
          <t>LAUNCH_INVENTORY</t>
        </is>
      </c>
    </row>
    <row r="76">
      <c r="A76" t="inlineStr">
        <is>
          <t>A6527</t>
        </is>
      </c>
      <c r="B76" t="inlineStr">
        <is>
          <t>S04</t>
        </is>
      </c>
      <c r="C76" t="inlineStr">
        <is>
          <t>GRADIENT COMPRESSION GARMENT, FULL LEG AND FOOT, PADDED, FOR NIGHTTIME USE, CUSTOM, EACH</t>
        </is>
      </c>
      <c r="D76" t="n">
        <v>3</v>
      </c>
      <c r="E76" t="n">
        <v>1240.94</v>
      </c>
      <c r="O76">
        <f>IF(P76=H76,IF(ISBLANK(G76),"",F76&amp;" - "&amp;G76),IF(P76=K76,IF(ISBLANK(J76),"",I76&amp;" - "&amp;J76),IF(ISBLANK(M76),"",L76&amp;" - "&amp;M76)))</f>
        <v/>
      </c>
      <c r="P76">
        <f>MIN(H76,K76,N76)</f>
        <v/>
      </c>
      <c r="Q76">
        <f>D76*P76</f>
        <v/>
      </c>
      <c r="R76">
        <f>IF(ISBLANK(E76),0,D76*E76)</f>
        <v/>
      </c>
      <c r="S76">
        <f>IF(R76=0,0,(R76-Q76)/R76)</f>
        <v/>
      </c>
      <c r="T76" t="n">
        <v>60</v>
      </c>
      <c r="U76" t="inlineStr">
        <is>
          <t>LAUNCH_INVENTORY</t>
        </is>
      </c>
    </row>
    <row r="77">
      <c r="A77" t="inlineStr">
        <is>
          <t>A6526</t>
        </is>
      </c>
      <c r="B77" t="inlineStr">
        <is>
          <t>S04</t>
        </is>
      </c>
      <c r="C77" t="inlineStr">
        <is>
          <t>GRADIENT COMPRESSION GARMENT, FULL LEG AND FOOT, PADDED, FOR NIGHTTIME USE, EACH</t>
        </is>
      </c>
      <c r="D77" t="n">
        <v>3</v>
      </c>
      <c r="E77" t="n">
        <v>674.84</v>
      </c>
      <c r="O77">
        <f>IF(P77=H77,IF(ISBLANK(G77),"",F77&amp;" - "&amp;G77),IF(P77=K77,IF(ISBLANK(J77),"",I77&amp;" - "&amp;J77),IF(ISBLANK(M77),"",L77&amp;" - "&amp;M77)))</f>
        <v/>
      </c>
      <c r="P77">
        <f>MIN(H77,K77,N77)</f>
        <v/>
      </c>
      <c r="Q77">
        <f>D77*P77</f>
        <v/>
      </c>
      <c r="R77">
        <f>IF(ISBLANK(E77),0,D77*E77)</f>
        <v/>
      </c>
      <c r="S77">
        <f>IF(R77=0,0,(R77-Q77)/R77)</f>
        <v/>
      </c>
      <c r="T77" t="n">
        <v>60</v>
      </c>
      <c r="U77" t="inlineStr">
        <is>
          <t>LAUNCH_INVENTORY</t>
        </is>
      </c>
    </row>
    <row r="78">
      <c r="A78" t="inlineStr">
        <is>
          <t>A6541</t>
        </is>
      </c>
      <c r="B78" t="inlineStr">
        <is>
          <t>S04</t>
        </is>
      </c>
      <c r="C78" t="inlineStr">
        <is>
          <t>GRADIENT COMPRESSION STOCKING, WAIST LENGTH, 40 MMHG OR GREATER, EACH</t>
        </is>
      </c>
      <c r="D78" t="n">
        <v>3</v>
      </c>
      <c r="E78" t="n">
        <v>134.58</v>
      </c>
      <c r="O78">
        <f>IF(P78=H78,IF(ISBLANK(G78),"",F78&amp;" - "&amp;G78),IF(P78=K78,IF(ISBLANK(J78),"",I78&amp;" - "&amp;J78),IF(ISBLANK(M78),"",L78&amp;" - "&amp;M78)))</f>
        <v/>
      </c>
      <c r="P78">
        <f>MIN(H78,K78,N78)</f>
        <v/>
      </c>
      <c r="Q78">
        <f>D78*P78</f>
        <v/>
      </c>
      <c r="R78">
        <f>IF(ISBLANK(E78),0,D78*E78)</f>
        <v/>
      </c>
      <c r="S78">
        <f>IF(R78=0,0,(R78-Q78)/R78)</f>
        <v/>
      </c>
      <c r="T78" t="n">
        <v>60</v>
      </c>
      <c r="U78" t="inlineStr">
        <is>
          <t>LAUNCH_INVENTORY</t>
        </is>
      </c>
    </row>
    <row r="79">
      <c r="A79" t="inlineStr">
        <is>
          <t>A6154</t>
        </is>
      </c>
      <c r="B79" t="inlineStr">
        <is>
          <t>S01</t>
        </is>
      </c>
      <c r="C79" t="inlineStr">
        <is>
          <t>WOUND POUCH, EACH</t>
        </is>
      </c>
      <c r="D79" t="n">
        <v>3</v>
      </c>
      <c r="E79" t="n">
        <v>20.09</v>
      </c>
      <c r="O79">
        <f>IF(P79=H79,IF(ISBLANK(G79),"",F79&amp;" - "&amp;G79),IF(P79=K79,IF(ISBLANK(J79),"",I79&amp;" - "&amp;J79),IF(ISBLANK(M79),"",L79&amp;" - "&amp;M79)))</f>
        <v/>
      </c>
      <c r="P79">
        <f>MIN(H79,K79,N79)</f>
        <v/>
      </c>
      <c r="Q79">
        <f>D79*P79</f>
        <v/>
      </c>
      <c r="R79">
        <f>IF(ISBLANK(E79),0,D79*E79)</f>
        <v/>
      </c>
      <c r="S79">
        <f>IF(R79=0,0,(R79-Q79)/R79)</f>
        <v/>
      </c>
      <c r="T79" t="n">
        <v>60</v>
      </c>
      <c r="U79" t="inlineStr">
        <is>
          <t>LAUNCH_INVENTORY</t>
        </is>
      </c>
    </row>
    <row r="80">
      <c r="A80" t="inlineStr">
        <is>
          <t>A6024</t>
        </is>
      </c>
      <c r="B80" t="inlineStr">
        <is>
          <t>S01</t>
        </is>
      </c>
      <c r="C80" t="inlineStr">
        <is>
          <t>COLLAGEN DRESSING WOUND FILLER, STERILE, PER 6 INCHES</t>
        </is>
      </c>
      <c r="D80" t="n">
        <v>3</v>
      </c>
      <c r="E80" t="n">
        <v>8.640000000000001</v>
      </c>
      <c r="O80">
        <f>IF(P80=H80,IF(ISBLANK(G80),"",F80&amp;" - "&amp;G80),IF(P80=K80,IF(ISBLANK(J80),"",I80&amp;" - "&amp;J80),IF(ISBLANK(M80),"",L80&amp;" - "&amp;M80)))</f>
        <v/>
      </c>
      <c r="P80">
        <f>MIN(H80,K80,N80)</f>
        <v/>
      </c>
      <c r="Q80">
        <f>D80*P80</f>
        <v/>
      </c>
      <c r="R80">
        <f>IF(ISBLANK(E80),0,D80*E80)</f>
        <v/>
      </c>
      <c r="S80">
        <f>IF(R80=0,0,(R80-Q80)/R80)</f>
        <v/>
      </c>
      <c r="T80" t="n">
        <v>60</v>
      </c>
      <c r="U80" t="inlineStr">
        <is>
          <t>LAUNCH_INVENTORY</t>
        </is>
      </c>
    </row>
    <row r="81">
      <c r="A81" t="inlineStr">
        <is>
          <t>A6211</t>
        </is>
      </c>
      <c r="B81" t="inlineStr">
        <is>
          <t>S01</t>
        </is>
      </c>
      <c r="C81" t="inlineStr">
        <is>
          <t>FOAM DRESSING, WOUND COVER, STERILE, PAD SIZE MORE THAN 48 SQ. IN., WITHOUT ADHESIVE BORDER, EACH DRESSING</t>
        </is>
      </c>
      <c r="D81" t="n">
        <v>3</v>
      </c>
      <c r="E81" t="n">
        <v>41.04</v>
      </c>
      <c r="O81">
        <f>IF(P81=H81,IF(ISBLANK(G81),"",F81&amp;" - "&amp;G81),IF(P81=K81,IF(ISBLANK(J81),"",I81&amp;" - "&amp;J81),IF(ISBLANK(M81),"",L81&amp;" - "&amp;M81)))</f>
        <v/>
      </c>
      <c r="P81">
        <f>MIN(H81,K81,N81)</f>
        <v/>
      </c>
      <c r="Q81">
        <f>D81*P81</f>
        <v/>
      </c>
      <c r="R81">
        <f>IF(ISBLANK(E81),0,D81*E81)</f>
        <v/>
      </c>
      <c r="S81">
        <f>IF(R81=0,0,(R81-Q81)/R81)</f>
        <v/>
      </c>
      <c r="T81" t="n">
        <v>60</v>
      </c>
      <c r="U81" t="inlineStr">
        <is>
          <t>LAUNCH_INVENTORY</t>
        </is>
      </c>
    </row>
    <row r="82">
      <c r="A82" t="inlineStr">
        <is>
          <t>A6553</t>
        </is>
      </c>
      <c r="B82" t="inlineStr">
        <is>
          <t>S04</t>
        </is>
      </c>
      <c r="C82" t="inlineStr">
        <is>
          <t>GRADIENT COMPRESSION STOCKING, BELOW KNEE, 30-40 MMHG, CUSTOM, EACH</t>
        </is>
      </c>
      <c r="D82" t="n">
        <v>3</v>
      </c>
      <c r="E82" t="n">
        <v>220.43</v>
      </c>
      <c r="O82">
        <f>IF(P82=H82,IF(ISBLANK(G82),"",F82&amp;" - "&amp;G82),IF(P82=K82,IF(ISBLANK(J82),"",I82&amp;" - "&amp;J82),IF(ISBLANK(M82),"",L82&amp;" - "&amp;M82)))</f>
        <v/>
      </c>
      <c r="P82">
        <f>MIN(H82,K82,N82)</f>
        <v/>
      </c>
      <c r="Q82">
        <f>D82*P82</f>
        <v/>
      </c>
      <c r="R82">
        <f>IF(ISBLANK(E82),0,D82*E82)</f>
        <v/>
      </c>
      <c r="S82">
        <f>IF(R82=0,0,(R82-Q82)/R82)</f>
        <v/>
      </c>
      <c r="T82" t="n">
        <v>60</v>
      </c>
      <c r="U82" t="inlineStr">
        <is>
          <t>LAUNCH_INVENTORY</t>
        </is>
      </c>
    </row>
    <row r="83">
      <c r="A83" t="inlineStr">
        <is>
          <t>K0041</t>
        </is>
      </c>
      <c r="B83" t="inlineStr">
        <is>
          <t>M06A</t>
        </is>
      </c>
      <c r="C83" t="inlineStr">
        <is>
          <t>LARGE SIZE FOOTPLATE, EACH</t>
        </is>
      </c>
      <c r="D83" t="n">
        <v>3</v>
      </c>
      <c r="E83" t="n">
        <v>58.92</v>
      </c>
      <c r="O83">
        <f>IF(P83=H83,IF(ISBLANK(G83),"",F83&amp;" - "&amp;G83),IF(P83=K83,IF(ISBLANK(J83),"",I83&amp;" - "&amp;J83),IF(ISBLANK(M83),"",L83&amp;" - "&amp;M83)))</f>
        <v/>
      </c>
      <c r="P83">
        <f>MIN(H83,K83,N83)</f>
        <v/>
      </c>
      <c r="Q83">
        <f>D83*P83</f>
        <v/>
      </c>
      <c r="R83">
        <f>IF(ISBLANK(E83),0,D83*E83)</f>
        <v/>
      </c>
      <c r="S83">
        <f>IF(R83=0,0,(R83-Q83)/R83)</f>
        <v/>
      </c>
      <c r="T83" t="n">
        <v>60</v>
      </c>
      <c r="U83" t="inlineStr">
        <is>
          <t>LAUNCH_INVENTORY</t>
        </is>
      </c>
    </row>
    <row r="84">
      <c r="A84" t="inlineStr">
        <is>
          <t>K0040</t>
        </is>
      </c>
      <c r="B84" t="inlineStr">
        <is>
          <t>M06A</t>
        </is>
      </c>
      <c r="C84" t="inlineStr">
        <is>
          <t>ADJUSTABLE ANGLE FOOTPLATE, EACH</t>
        </is>
      </c>
      <c r="D84" t="n">
        <v>3</v>
      </c>
      <c r="E84" t="n">
        <v>56.02</v>
      </c>
      <c r="O84">
        <f>IF(P84=H84,IF(ISBLANK(G84),"",F84&amp;" - "&amp;G84),IF(P84=K84,IF(ISBLANK(J84),"",I84&amp;" - "&amp;J84),IF(ISBLANK(M84),"",L84&amp;" - "&amp;M84)))</f>
        <v/>
      </c>
      <c r="P84">
        <f>MIN(H84,K84,N84)</f>
        <v/>
      </c>
      <c r="Q84">
        <f>D84*P84</f>
        <v/>
      </c>
      <c r="R84">
        <f>IF(ISBLANK(E84),0,D84*E84)</f>
        <v/>
      </c>
      <c r="S84">
        <f>IF(R84=0,0,(R84-Q84)/R84)</f>
        <v/>
      </c>
      <c r="T84" t="n">
        <v>60</v>
      </c>
      <c r="U84" t="inlineStr">
        <is>
          <t>LAUNCH_INVENTORY</t>
        </is>
      </c>
    </row>
    <row r="85">
      <c r="A85" t="inlineStr">
        <is>
          <t>K0038</t>
        </is>
      </c>
      <c r="B85" t="inlineStr">
        <is>
          <t>M06A</t>
        </is>
      </c>
      <c r="C85" t="inlineStr">
        <is>
          <t>LEG STRAP, EACH</t>
        </is>
      </c>
      <c r="D85" t="n">
        <v>3</v>
      </c>
      <c r="E85" t="n">
        <v>28.71</v>
      </c>
      <c r="O85">
        <f>IF(P85=H85,IF(ISBLANK(G85),"",F85&amp;" - "&amp;G85),IF(P85=K85,IF(ISBLANK(J85),"",I85&amp;" - "&amp;J85),IF(ISBLANK(M85),"",L85&amp;" - "&amp;M85)))</f>
        <v/>
      </c>
      <c r="P85">
        <f>MIN(H85,K85,N85)</f>
        <v/>
      </c>
      <c r="Q85">
        <f>D85*P85</f>
        <v/>
      </c>
      <c r="R85">
        <f>IF(ISBLANK(E85),0,D85*E85)</f>
        <v/>
      </c>
      <c r="S85">
        <f>IF(R85=0,0,(R85-Q85)/R85)</f>
        <v/>
      </c>
      <c r="T85" t="n">
        <v>60</v>
      </c>
      <c r="U85" t="inlineStr">
        <is>
          <t>LAUNCH_INVENTORY</t>
        </is>
      </c>
    </row>
    <row r="86">
      <c r="A86" t="inlineStr">
        <is>
          <t>K0071</t>
        </is>
      </c>
      <c r="B86" t="inlineStr">
        <is>
          <t>M06A</t>
        </is>
      </c>
      <c r="C86" t="inlineStr">
        <is>
          <t>FRONT CASTER ASSEMBLY, COMPLETE, WITH PNEUMATIC TIRE, REPLACEMENT ONLY, EACH</t>
        </is>
      </c>
      <c r="D86" t="n">
        <v>3</v>
      </c>
      <c r="E86" t="n">
        <v>117.41</v>
      </c>
      <c r="O86">
        <f>IF(P86=H86,IF(ISBLANK(G86),"",F86&amp;" - "&amp;G86),IF(P86=K86,IF(ISBLANK(J86),"",I86&amp;" - "&amp;J86),IF(ISBLANK(M86),"",L86&amp;" - "&amp;M86)))</f>
        <v/>
      </c>
      <c r="P86">
        <f>MIN(H86,K86,N86)</f>
        <v/>
      </c>
      <c r="Q86">
        <f>D86*P86</f>
        <v/>
      </c>
      <c r="R86">
        <f>IF(ISBLANK(E86),0,D86*E86)</f>
        <v/>
      </c>
      <c r="S86">
        <f>IF(R86=0,0,(R86-Q86)/R86)</f>
        <v/>
      </c>
      <c r="T86" t="n">
        <v>60</v>
      </c>
      <c r="U86" t="inlineStr">
        <is>
          <t>LAUNCH_INVENTORY</t>
        </is>
      </c>
    </row>
    <row r="87">
      <c r="A87" t="inlineStr">
        <is>
          <t>A6529</t>
        </is>
      </c>
      <c r="B87" t="inlineStr">
        <is>
          <t>S04</t>
        </is>
      </c>
      <c r="C87" t="inlineStr">
        <is>
          <t>GRADIENT COMPRESSION GARMENT, BRA, FOR NIGHTTIME USE, CUSTOM, EACH</t>
        </is>
      </c>
      <c r="D87" t="n">
        <v>3</v>
      </c>
      <c r="E87" t="n">
        <v>1025.36</v>
      </c>
      <c r="O87">
        <f>IF(P87=H87,IF(ISBLANK(G87),"",F87&amp;" - "&amp;G87),IF(P87=K87,IF(ISBLANK(J87),"",I87&amp;" - "&amp;J87),IF(ISBLANK(M87),"",L87&amp;" - "&amp;M87)))</f>
        <v/>
      </c>
      <c r="P87">
        <f>MIN(H87,K87,N87)</f>
        <v/>
      </c>
      <c r="Q87">
        <f>D87*P87</f>
        <v/>
      </c>
      <c r="R87">
        <f>IF(ISBLANK(E87),0,D87*E87)</f>
        <v/>
      </c>
      <c r="S87">
        <f>IF(R87=0,0,(R87-Q87)/R87)</f>
        <v/>
      </c>
      <c r="T87" t="n">
        <v>60</v>
      </c>
      <c r="U87" t="inlineStr">
        <is>
          <t>LAUNCH_INVENTORY</t>
        </is>
      </c>
    </row>
    <row r="88">
      <c r="A88" t="inlineStr">
        <is>
          <t>A6530</t>
        </is>
      </c>
      <c r="B88" t="inlineStr">
        <is>
          <t>S04</t>
        </is>
      </c>
      <c r="C88" t="inlineStr">
        <is>
          <t>GRADIENT COMPRESSION STOCKING, BELOW KNEE, 18-30 MMHG, EACH</t>
        </is>
      </c>
      <c r="D88" t="n">
        <v>3</v>
      </c>
      <c r="E88" t="n">
        <v>38.04</v>
      </c>
      <c r="O88">
        <f>IF(P88=H88,IF(ISBLANK(G88),"",F88&amp;" - "&amp;G88),IF(P88=K88,IF(ISBLANK(J88),"",I88&amp;" - "&amp;J88),IF(ISBLANK(M88),"",L88&amp;" - "&amp;M88)))</f>
        <v/>
      </c>
      <c r="P88">
        <f>MIN(H88,K88,N88)</f>
        <v/>
      </c>
      <c r="Q88">
        <f>D88*P88</f>
        <v/>
      </c>
      <c r="R88">
        <f>IF(ISBLANK(E88),0,D88*E88)</f>
        <v/>
      </c>
      <c r="S88">
        <f>IF(R88=0,0,(R88-Q88)/R88)</f>
        <v/>
      </c>
      <c r="T88" t="n">
        <v>60</v>
      </c>
      <c r="U88" t="inlineStr">
        <is>
          <t>LAUNCH_INVENTORY</t>
        </is>
      </c>
    </row>
    <row r="89">
      <c r="A89" t="inlineStr">
        <is>
          <t>A6537</t>
        </is>
      </c>
      <c r="B89" t="inlineStr">
        <is>
          <t>S04</t>
        </is>
      </c>
      <c r="C89" t="inlineStr">
        <is>
          <t>GRADIENT COMPRESSION STOCKING, FULL LENGTH/CHAP STYLE, 30-40 MMHG, EACH</t>
        </is>
      </c>
      <c r="D89" t="n">
        <v>3</v>
      </c>
      <c r="E89" t="n">
        <v>85.37</v>
      </c>
      <c r="O89">
        <f>IF(P89=H89,IF(ISBLANK(G89),"",F89&amp;" - "&amp;G89),IF(P89=K89,IF(ISBLANK(J89),"",I89&amp;" - "&amp;J89),IF(ISBLANK(M89),"",L89&amp;" - "&amp;M89)))</f>
        <v/>
      </c>
      <c r="P89">
        <f>MIN(H89,K89,N89)</f>
        <v/>
      </c>
      <c r="Q89">
        <f>D89*P89</f>
        <v/>
      </c>
      <c r="R89">
        <f>IF(ISBLANK(E89),0,D89*E89)</f>
        <v/>
      </c>
      <c r="S89">
        <f>IF(R89=0,0,(R89-Q89)/R89)</f>
        <v/>
      </c>
      <c r="T89" t="n">
        <v>60</v>
      </c>
      <c r="U89" t="inlineStr">
        <is>
          <t>LAUNCH_INVENTORY</t>
        </is>
      </c>
    </row>
    <row r="90">
      <c r="A90" t="inlineStr">
        <is>
          <t>A6538</t>
        </is>
      </c>
      <c r="B90" t="inlineStr">
        <is>
          <t>S04</t>
        </is>
      </c>
      <c r="C90" t="inlineStr">
        <is>
          <t>GRADIENT COMPRESSION STOCKING, FULL LENGTH/CHAP STYLE, 40 MMHG OR GREATER, EACH</t>
        </is>
      </c>
      <c r="D90" t="n">
        <v>3</v>
      </c>
      <c r="E90" t="n">
        <v>99.95</v>
      </c>
      <c r="O90">
        <f>IF(P90=H90,IF(ISBLANK(G90),"",F90&amp;" - "&amp;G90),IF(P90=K90,IF(ISBLANK(J90),"",I90&amp;" - "&amp;J90),IF(ISBLANK(M90),"",L90&amp;" - "&amp;M90)))</f>
        <v/>
      </c>
      <c r="P90">
        <f>MIN(H90,K90,N90)</f>
        <v/>
      </c>
      <c r="Q90">
        <f>D90*P90</f>
        <v/>
      </c>
      <c r="R90">
        <f>IF(ISBLANK(E90),0,D90*E90)</f>
        <v/>
      </c>
      <c r="S90">
        <f>IF(R90=0,0,(R90-Q90)/R90)</f>
        <v/>
      </c>
      <c r="T90" t="n">
        <v>60</v>
      </c>
      <c r="U90" t="inlineStr">
        <is>
          <t>LAUNCH_INVENTORY</t>
        </is>
      </c>
    </row>
    <row r="91">
      <c r="A91" t="inlineStr">
        <is>
          <t>A6522</t>
        </is>
      </c>
      <c r="B91" t="inlineStr">
        <is>
          <t>S04</t>
        </is>
      </c>
      <c r="C91" t="inlineStr">
        <is>
          <t>GRADIENT COMPRESSION GARMENT, ARM, PADDED, FOR NIGHTTIME USE, EACH</t>
        </is>
      </c>
      <c r="D91" t="n">
        <v>3</v>
      </c>
      <c r="E91" t="n">
        <v>299.18</v>
      </c>
      <c r="O91">
        <f>IF(P91=H91,IF(ISBLANK(G91),"",F91&amp;" - "&amp;G91),IF(P91=K91,IF(ISBLANK(J91),"",I91&amp;" - "&amp;J91),IF(ISBLANK(M91),"",L91&amp;" - "&amp;M91)))</f>
        <v/>
      </c>
      <c r="P91">
        <f>MIN(H91,K91,N91)</f>
        <v/>
      </c>
      <c r="Q91">
        <f>D91*P91</f>
        <v/>
      </c>
      <c r="R91">
        <f>IF(ISBLANK(E91),0,D91*E91)</f>
        <v/>
      </c>
      <c r="S91">
        <f>IF(R91=0,0,(R91-Q91)/R91)</f>
        <v/>
      </c>
      <c r="T91" t="n">
        <v>60</v>
      </c>
      <c r="U91" t="inlineStr">
        <is>
          <t>LAUNCH_INVENTORY</t>
        </is>
      </c>
    </row>
    <row r="92">
      <c r="A92" t="inlineStr">
        <is>
          <t>A6521</t>
        </is>
      </c>
      <c r="B92" t="inlineStr">
        <is>
          <t>S04</t>
        </is>
      </c>
      <c r="C92" t="inlineStr">
        <is>
          <t>GRADIENT COMPRESSION GARMENT, GLOVE, PADDED, FOR NIGHTTIME USE, CUSTOM, EACH</t>
        </is>
      </c>
      <c r="D92" t="n">
        <v>3</v>
      </c>
      <c r="E92" t="n">
        <v>488.56</v>
      </c>
      <c r="O92">
        <f>IF(P92=H92,IF(ISBLANK(G92),"",F92&amp;" - "&amp;G92),IF(P92=K92,IF(ISBLANK(J92),"",I92&amp;" - "&amp;J92),IF(ISBLANK(M92),"",L92&amp;" - "&amp;M92)))</f>
        <v/>
      </c>
      <c r="P92">
        <f>MIN(H92,K92,N92)</f>
        <v/>
      </c>
      <c r="Q92">
        <f>D92*P92</f>
        <v/>
      </c>
      <c r="R92">
        <f>IF(ISBLANK(E92),0,D92*E92)</f>
        <v/>
      </c>
      <c r="S92">
        <f>IF(R92=0,0,(R92-Q92)/R92)</f>
        <v/>
      </c>
      <c r="T92" t="n">
        <v>60</v>
      </c>
      <c r="U92" t="inlineStr">
        <is>
          <t>LAUNCH_INVENTORY</t>
        </is>
      </c>
    </row>
    <row r="93">
      <c r="A93" t="inlineStr">
        <is>
          <t>A6520</t>
        </is>
      </c>
      <c r="B93" t="inlineStr">
        <is>
          <t>S04</t>
        </is>
      </c>
      <c r="C93" t="inlineStr">
        <is>
          <t>GRADIENT COMPRESSION GARMENT, GLOVE, PADDED, FOR NIGHTTIME USE, EACH</t>
        </is>
      </c>
      <c r="D93" t="n">
        <v>3</v>
      </c>
      <c r="E93" t="n">
        <v>123.13</v>
      </c>
      <c r="O93">
        <f>IF(P93=H93,IF(ISBLANK(G93),"",F93&amp;" - "&amp;G93),IF(P93=K93,IF(ISBLANK(J93),"",I93&amp;" - "&amp;J93),IF(ISBLANK(M93),"",L93&amp;" - "&amp;M93)))</f>
        <v/>
      </c>
      <c r="P93">
        <f>MIN(H93,K93,N93)</f>
        <v/>
      </c>
      <c r="Q93">
        <f>D93*P93</f>
        <v/>
      </c>
      <c r="R93">
        <f>IF(ISBLANK(E93),0,D93*E93)</f>
        <v/>
      </c>
      <c r="S93">
        <f>IF(R93=0,0,(R93-Q93)/R93)</f>
        <v/>
      </c>
      <c r="T93" t="n">
        <v>60</v>
      </c>
      <c r="U93" t="inlineStr">
        <is>
          <t>LAUNCH_INVENTORY</t>
        </is>
      </c>
    </row>
    <row r="94">
      <c r="A94" t="inlineStr">
        <is>
          <t>A6535</t>
        </is>
      </c>
      <c r="B94" t="inlineStr">
        <is>
          <t>S04</t>
        </is>
      </c>
      <c r="C94" t="inlineStr">
        <is>
          <t>GRADIENT COMPRESSION STOCKING, THIGH LENGTH, 40 MMHG OR GREATER, EACH</t>
        </is>
      </c>
      <c r="D94" t="n">
        <v>3</v>
      </c>
      <c r="E94" t="n">
        <v>70.23</v>
      </c>
      <c r="O94">
        <f>IF(P94=H94,IF(ISBLANK(G94),"",F94&amp;" - "&amp;G94),IF(P94=K94,IF(ISBLANK(J94),"",I94&amp;" - "&amp;J94),IF(ISBLANK(M94),"",L94&amp;" - "&amp;M94)))</f>
        <v/>
      </c>
      <c r="P94">
        <f>MIN(H94,K94,N94)</f>
        <v/>
      </c>
      <c r="Q94">
        <f>D94*P94</f>
        <v/>
      </c>
      <c r="R94">
        <f>IF(ISBLANK(E94),0,D94*E94)</f>
        <v/>
      </c>
      <c r="S94">
        <f>IF(R94=0,0,(R94-Q94)/R94)</f>
        <v/>
      </c>
      <c r="T94" t="n">
        <v>60</v>
      </c>
      <c r="U94" t="inlineStr">
        <is>
          <t>LAUNCH_INVENTORY</t>
        </is>
      </c>
    </row>
    <row r="95">
      <c r="A95" t="inlineStr">
        <is>
          <t>A6536</t>
        </is>
      </c>
      <c r="B95" t="inlineStr">
        <is>
          <t>S04</t>
        </is>
      </c>
      <c r="C95" t="inlineStr">
        <is>
          <t>GRADIENT COMPRESSION STOCKING, FULL LENGTH/CHAP STYLE, 18-30 MMHG, EACH</t>
        </is>
      </c>
      <c r="D95" t="n">
        <v>3</v>
      </c>
      <c r="E95" t="n">
        <v>72.01000000000001</v>
      </c>
      <c r="O95">
        <f>IF(P95=H95,IF(ISBLANK(G95),"",F95&amp;" - "&amp;G95),IF(P95=K95,IF(ISBLANK(J95),"",I95&amp;" - "&amp;J95),IF(ISBLANK(M95),"",L95&amp;" - "&amp;M95)))</f>
        <v/>
      </c>
      <c r="P95">
        <f>MIN(H95,K95,N95)</f>
        <v/>
      </c>
      <c r="Q95">
        <f>D95*P95</f>
        <v/>
      </c>
      <c r="R95">
        <f>IF(ISBLANK(E95),0,D95*E95)</f>
        <v/>
      </c>
      <c r="S95">
        <f>IF(R95=0,0,(R95-Q95)/R95)</f>
        <v/>
      </c>
      <c r="T95" t="n">
        <v>60</v>
      </c>
      <c r="U95" t="inlineStr">
        <is>
          <t>LAUNCH_INVENTORY</t>
        </is>
      </c>
    </row>
    <row r="96">
      <c r="A96" t="inlineStr">
        <is>
          <t>A6545</t>
        </is>
      </c>
      <c r="B96" t="inlineStr">
        <is>
          <t>S01</t>
        </is>
      </c>
      <c r="C96" t="inlineStr">
        <is>
          <t>GRADIENT COMPRESSION WRAP, NON-ELASTIC, BELOW KNEE, 30-50 MMHG, USED AS A SURGICAL DRESSING, EACH</t>
        </is>
      </c>
      <c r="D96" t="n">
        <v>3</v>
      </c>
      <c r="E96" t="n">
        <v>119.03</v>
      </c>
      <c r="O96">
        <f>IF(P96=H96,IF(ISBLANK(G96),"",F96&amp;" - "&amp;G96),IF(P96=K96,IF(ISBLANK(J96),"",I96&amp;" - "&amp;J96),IF(ISBLANK(M96),"",L96&amp;" - "&amp;M96)))</f>
        <v/>
      </c>
      <c r="P96">
        <f>MIN(H96,K96,N96)</f>
        <v/>
      </c>
      <c r="Q96">
        <f>D96*P96</f>
        <v/>
      </c>
      <c r="R96">
        <f>IF(ISBLANK(E96),0,D96*E96)</f>
        <v/>
      </c>
      <c r="S96">
        <f>IF(R96=0,0,(R96-Q96)/R96)</f>
        <v/>
      </c>
      <c r="T96" t="n">
        <v>60</v>
      </c>
      <c r="U96" t="inlineStr">
        <is>
          <t>LAUNCH_INVENTORY</t>
        </is>
      </c>
    </row>
    <row r="97">
      <c r="A97" t="inlineStr">
        <is>
          <t>A4450</t>
        </is>
      </c>
      <c r="B97" t="inlineStr">
        <is>
          <t>S01</t>
        </is>
      </c>
      <c r="C97" t="inlineStr">
        <is>
          <t>TAPE, NON-WATERPROOF, PER 18 SQUARE INCHES</t>
        </is>
      </c>
      <c r="D97" t="n">
        <v>3</v>
      </c>
      <c r="E97" t="n">
        <v>0.1</v>
      </c>
      <c r="O97">
        <f>IF(P97=H97,IF(ISBLANK(G97),"",F97&amp;" - "&amp;G97),IF(P97=K97,IF(ISBLANK(J97),"",I97&amp;" - "&amp;J97),IF(ISBLANK(M97),"",L97&amp;" - "&amp;M97)))</f>
        <v/>
      </c>
      <c r="P97">
        <f>MIN(H97,K97,N97)</f>
        <v/>
      </c>
      <c r="Q97">
        <f>D97*P97</f>
        <v/>
      </c>
      <c r="R97">
        <f>IF(ISBLANK(E97),0,D97*E97)</f>
        <v/>
      </c>
      <c r="S97">
        <f>IF(R97=0,0,(R97-Q97)/R97)</f>
        <v/>
      </c>
      <c r="T97" t="n">
        <v>60</v>
      </c>
      <c r="U97" t="inlineStr">
        <is>
          <t>LAUNCH_INVENTORY</t>
        </is>
      </c>
    </row>
    <row r="98">
      <c r="A98" t="inlineStr">
        <is>
          <t>A6023</t>
        </is>
      </c>
      <c r="B98" t="inlineStr">
        <is>
          <t>S01</t>
        </is>
      </c>
      <c r="C98" t="inlineStr">
        <is>
          <t>COLLAGEN DRESSING, STERILE, SIZE MORE THAN 48 SQ. IN., EACH</t>
        </is>
      </c>
      <c r="D98" t="n">
        <v>3</v>
      </c>
      <c r="E98" t="n">
        <v>265.9</v>
      </c>
      <c r="O98">
        <f>IF(P98=H98,IF(ISBLANK(G98),"",F98&amp;" - "&amp;G98),IF(P98=K98,IF(ISBLANK(J98),"",I98&amp;" - "&amp;J98),IF(ISBLANK(M98),"",L98&amp;" - "&amp;M98)))</f>
        <v/>
      </c>
      <c r="P98">
        <f>MIN(H98,K98,N98)</f>
        <v/>
      </c>
      <c r="Q98">
        <f>D98*P98</f>
        <v/>
      </c>
      <c r="R98">
        <f>IF(ISBLANK(E98),0,D98*E98)</f>
        <v/>
      </c>
      <c r="S98">
        <f>IF(R98=0,0,(R98-Q98)/R98)</f>
        <v/>
      </c>
      <c r="T98" t="n">
        <v>60</v>
      </c>
      <c r="U98" t="inlineStr">
        <is>
          <t>LAUNCH_INVENTORY</t>
        </is>
      </c>
    </row>
    <row r="99">
      <c r="A99" t="inlineStr">
        <is>
          <t>A6229</t>
        </is>
      </c>
      <c r="B99" t="inlineStr">
        <is>
          <t>S01</t>
        </is>
      </c>
      <c r="C99" t="inlineStr">
        <is>
          <t>GAUZE, IMPREGNATED, WATER OR NORMAL SALINE, STERILE, PAD SIZE MORE THAN 16 SQ. IN. BUT LESS THAN OR EQUAL TO 48 SQ. IN., WITHOUT ADHESIVE BORDER, EACH DRESSING</t>
        </is>
      </c>
      <c r="D99" t="n">
        <v>3</v>
      </c>
      <c r="E99" t="n">
        <v>5.03</v>
      </c>
      <c r="O99">
        <f>IF(P99=H99,IF(ISBLANK(G99),"",F99&amp;" - "&amp;G99),IF(P99=K99,IF(ISBLANK(J99),"",I99&amp;" - "&amp;J99),IF(ISBLANK(M99),"",L99&amp;" - "&amp;M99)))</f>
        <v/>
      </c>
      <c r="P99">
        <f>MIN(H99,K99,N99)</f>
        <v/>
      </c>
      <c r="Q99">
        <f>D99*P99</f>
        <v/>
      </c>
      <c r="R99">
        <f>IF(ISBLANK(E99),0,D99*E99)</f>
        <v/>
      </c>
      <c r="S99">
        <f>IF(R99=0,0,(R99-Q99)/R99)</f>
        <v/>
      </c>
      <c r="T99" t="n">
        <v>60</v>
      </c>
      <c r="U99" t="inlineStr">
        <is>
          <t>LAUNCH_INVENTORY</t>
        </is>
      </c>
    </row>
    <row r="100">
      <c r="A100" t="inlineStr">
        <is>
          <t>A6224</t>
        </is>
      </c>
      <c r="B100" t="inlineStr">
        <is>
          <t>S01</t>
        </is>
      </c>
      <c r="C100" t="inlineStr">
        <is>
          <t>GAUZE, IMPREGNATED WITH OTHER THAN WATER, NORMAL SALINE, OR HYDROGEL, STERILE, PAD SIZE MORE THAN 48 SQ. IN., WITHOUT ADHESIVE BORDER, EACH DRESSING</t>
        </is>
      </c>
      <c r="D100" t="n">
        <v>3</v>
      </c>
      <c r="E100" t="n">
        <v>5.03</v>
      </c>
      <c r="O100">
        <f>IF(P100=H100,IF(ISBLANK(G100),"",F100&amp;" - "&amp;G100),IF(P100=K100,IF(ISBLANK(J100),"",I100&amp;" - "&amp;J100),IF(ISBLANK(M100),"",L100&amp;" - "&amp;M100)))</f>
        <v/>
      </c>
      <c r="P100">
        <f>MIN(H100,K100,N100)</f>
        <v/>
      </c>
      <c r="Q100">
        <f>D100*P100</f>
        <v/>
      </c>
      <c r="R100">
        <f>IF(ISBLANK(E100),0,D100*E100)</f>
        <v/>
      </c>
      <c r="S100">
        <f>IF(R100=0,0,(R100-Q100)/R100)</f>
        <v/>
      </c>
      <c r="T100" t="n">
        <v>60</v>
      </c>
      <c r="U100" t="inlineStr">
        <is>
          <t>LAUNCH_INVENTORY</t>
        </is>
      </c>
    </row>
    <row r="101">
      <c r="A101" t="inlineStr">
        <is>
          <t>A6223</t>
        </is>
      </c>
      <c r="B101" t="inlineStr">
        <is>
          <t>S01</t>
        </is>
      </c>
      <c r="C101" t="inlineStr">
        <is>
          <t>GAUZE, IMPREGNATED WITH OTHER THAN WATER, NORMAL SALINE, OR HYDROGEL, STERILE, PAD SIZE MORE THAN 16 SQ. IN., BUT LESS THAN OR EQUAL TO 48 SQ. IN., WITHOUT ADHESIVE BORDER, EACH DRESSING</t>
        </is>
      </c>
      <c r="D101" t="n">
        <v>3</v>
      </c>
      <c r="E101" t="n">
        <v>3.39</v>
      </c>
      <c r="O101">
        <f>IF(P101=H101,IF(ISBLANK(G101),"",F101&amp;" - "&amp;G101),IF(P101=K101,IF(ISBLANK(J101),"",I101&amp;" - "&amp;J101),IF(ISBLANK(M101),"",L101&amp;" - "&amp;M101)))</f>
        <v/>
      </c>
      <c r="P101">
        <f>MIN(H101,K101,N101)</f>
        <v/>
      </c>
      <c r="Q101">
        <f>D101*P101</f>
        <v/>
      </c>
      <c r="R101">
        <f>IF(ISBLANK(E101),0,D101*E101)</f>
        <v/>
      </c>
      <c r="S101">
        <f>IF(R101=0,0,(R101-Q101)/R101)</f>
        <v/>
      </c>
      <c r="T101" t="n">
        <v>60</v>
      </c>
      <c r="U101" t="inlineStr">
        <is>
          <t>LAUNCH_INVENTORY</t>
        </is>
      </c>
    </row>
    <row r="102">
      <c r="A102" t="inlineStr">
        <is>
          <t>A6222</t>
        </is>
      </c>
      <c r="B102" t="inlineStr">
        <is>
          <t>S01</t>
        </is>
      </c>
      <c r="C102" t="inlineStr">
        <is>
          <t>GAUZE, IMPREGNATED WITH OTHER THAN WATER, NORMAL SALINE, OR HYDROGEL, STERILE, PAD SIZE 16 SQ. IN. OR LESS, WITHOUT ADHESIVE BORDER, EACH DRESSING</t>
        </is>
      </c>
      <c r="D102" t="n">
        <v>3</v>
      </c>
      <c r="E102" t="n">
        <v>2.98</v>
      </c>
      <c r="O102">
        <f>IF(P102=H102,IF(ISBLANK(G102),"",F102&amp;" - "&amp;G102),IF(P102=K102,IF(ISBLANK(J102),"",I102&amp;" - "&amp;J102),IF(ISBLANK(M102),"",L102&amp;" - "&amp;M102)))</f>
        <v/>
      </c>
      <c r="P102">
        <f>MIN(H102,K102,N102)</f>
        <v/>
      </c>
      <c r="Q102">
        <f>D102*P102</f>
        <v/>
      </c>
      <c r="R102">
        <f>IF(ISBLANK(E102),0,D102*E102)</f>
        <v/>
      </c>
      <c r="S102">
        <f>IF(R102=0,0,(R102-Q102)/R102)</f>
        <v/>
      </c>
      <c r="T102" t="n">
        <v>60</v>
      </c>
      <c r="U102" t="inlineStr">
        <is>
          <t>LAUNCH_INVENTORY</t>
        </is>
      </c>
    </row>
    <row r="103">
      <c r="A103" t="inlineStr">
        <is>
          <t>A6220</t>
        </is>
      </c>
      <c r="B103" t="inlineStr">
        <is>
          <t>S01</t>
        </is>
      </c>
      <c r="C103" t="inlineStr">
        <is>
          <t>GAUZE, NON-IMPREGNATED, STERILE, PAD SIZE MORE THAN 16 SQ. IN. BUT LESS THAN OR EQUAL TO 48 SQ. IN., WITH ANY SIZE ADHESIVE BORDER, EACH DRESSING</t>
        </is>
      </c>
      <c r="D103" t="n">
        <v>3</v>
      </c>
      <c r="E103" t="n">
        <v>3.62</v>
      </c>
      <c r="O103">
        <f>IF(P103=H103,IF(ISBLANK(G103),"",F103&amp;" - "&amp;G103),IF(P103=K103,IF(ISBLANK(J103),"",I103&amp;" - "&amp;J103),IF(ISBLANK(M103),"",L103&amp;" - "&amp;M103)))</f>
        <v/>
      </c>
      <c r="P103">
        <f>MIN(H103,K103,N103)</f>
        <v/>
      </c>
      <c r="Q103">
        <f>D103*P103</f>
        <v/>
      </c>
      <c r="R103">
        <f>IF(ISBLANK(E103),0,D103*E103)</f>
        <v/>
      </c>
      <c r="S103">
        <f>IF(R103=0,0,(R103-Q103)/R103)</f>
        <v/>
      </c>
      <c r="T103" t="n">
        <v>60</v>
      </c>
      <c r="U103" t="inlineStr">
        <is>
          <t>LAUNCH_INVENTORY</t>
        </is>
      </c>
    </row>
    <row r="104">
      <c r="A104" t="inlineStr">
        <is>
          <t>A6238</t>
        </is>
      </c>
      <c r="B104" t="inlineStr">
        <is>
          <t>S01</t>
        </is>
      </c>
      <c r="C104" t="inlineStr">
        <is>
          <t>HYDROCOLLOID DRESSING, WOUND COVER, STERILE, PAD SIZE MORE THAN 16 SQ. IN. BUT LESS THAN OR EQUAL TO 48 SQ. IN., WITH ANY SIZE ADHESIVE BORDER, EACH DRESSING</t>
        </is>
      </c>
      <c r="D104" t="n">
        <v>3</v>
      </c>
      <c r="E104" t="n">
        <v>31.86</v>
      </c>
      <c r="O104">
        <f>IF(P104=H104,IF(ISBLANK(G104),"",F104&amp;" - "&amp;G104),IF(P104=K104,IF(ISBLANK(J104),"",I104&amp;" - "&amp;J104),IF(ISBLANK(M104),"",L104&amp;" - "&amp;M104)))</f>
        <v/>
      </c>
      <c r="P104">
        <f>MIN(H104,K104,N104)</f>
        <v/>
      </c>
      <c r="Q104">
        <f>D104*P104</f>
        <v/>
      </c>
      <c r="R104">
        <f>IF(ISBLANK(E104),0,D104*E104)</f>
        <v/>
      </c>
      <c r="S104">
        <f>IF(R104=0,0,(R104-Q104)/R104)</f>
        <v/>
      </c>
      <c r="T104" t="n">
        <v>60</v>
      </c>
      <c r="U104" t="inlineStr">
        <is>
          <t>LAUNCH_INVENTORY</t>
        </is>
      </c>
    </row>
    <row r="105">
      <c r="A105" t="inlineStr">
        <is>
          <t>A6216</t>
        </is>
      </c>
      <c r="B105" t="inlineStr">
        <is>
          <t>S01</t>
        </is>
      </c>
      <c r="C105" t="inlineStr">
        <is>
          <t>GAUZE, NON-IMPREGNATED, NON-STERILE, PAD SIZE 16 SQ. IN. OR LESS, WITHOUT ADHESIVE BORDER, EACH DRESSING</t>
        </is>
      </c>
      <c r="D105" t="n">
        <v>3</v>
      </c>
      <c r="E105" t="n">
        <v>0.05</v>
      </c>
      <c r="O105">
        <f>IF(P105=H105,IF(ISBLANK(G105),"",F105&amp;" - "&amp;G105),IF(P105=K105,IF(ISBLANK(J105),"",I105&amp;" - "&amp;J105),IF(ISBLANK(M105),"",L105&amp;" - "&amp;M105)))</f>
        <v/>
      </c>
      <c r="P105">
        <f>MIN(H105,K105,N105)</f>
        <v/>
      </c>
      <c r="Q105">
        <f>D105*P105</f>
        <v/>
      </c>
      <c r="R105">
        <f>IF(ISBLANK(E105),0,D105*E105)</f>
        <v/>
      </c>
      <c r="S105">
        <f>IF(R105=0,0,(R105-Q105)/R105)</f>
        <v/>
      </c>
      <c r="T105" t="n">
        <v>60</v>
      </c>
      <c r="U105" t="inlineStr">
        <is>
          <t>LAUNCH_INVENTORY</t>
        </is>
      </c>
    </row>
    <row r="106">
      <c r="A106" t="inlineStr">
        <is>
          <t>A6534</t>
        </is>
      </c>
      <c r="B106" t="inlineStr">
        <is>
          <t>S04</t>
        </is>
      </c>
      <c r="C106" t="inlineStr">
        <is>
          <t>GRADIENT COMPRESSION STOCKING, THIGH LENGTH, 30-40 MMHG, EACH</t>
        </is>
      </c>
      <c r="D106" t="n">
        <v>3</v>
      </c>
      <c r="E106" t="n">
        <v>61</v>
      </c>
      <c r="O106">
        <f>IF(P106=H106,IF(ISBLANK(G106),"",F106&amp;" - "&amp;G106),IF(P106=K106,IF(ISBLANK(J106),"",I106&amp;" - "&amp;J106),IF(ISBLANK(M106),"",L106&amp;" - "&amp;M106)))</f>
        <v/>
      </c>
      <c r="P106">
        <f>MIN(H106,K106,N106)</f>
        <v/>
      </c>
      <c r="Q106">
        <f>D106*P106</f>
        <v/>
      </c>
      <c r="R106">
        <f>IF(ISBLANK(E106),0,D106*E106)</f>
        <v/>
      </c>
      <c r="S106">
        <f>IF(R106=0,0,(R106-Q106)/R106)</f>
        <v/>
      </c>
      <c r="T106" t="n">
        <v>60</v>
      </c>
      <c r="U106" t="inlineStr">
        <is>
          <t>LAUNCH_INVENTORY</t>
        </is>
      </c>
    </row>
    <row r="107">
      <c r="A107" t="inlineStr">
        <is>
          <t>A6541</t>
        </is>
      </c>
      <c r="B107" t="inlineStr">
        <is>
          <t>S01</t>
        </is>
      </c>
      <c r="C107" t="inlineStr">
        <is>
          <t>GRADIENT COMPRESSION STOCKING, WAIST LENGTH, 40 MMHG OR GREATER, EACH</t>
        </is>
      </c>
      <c r="D107" t="n">
        <v>3</v>
      </c>
      <c r="E107" t="n">
        <v>134.58</v>
      </c>
      <c r="O107">
        <f>IF(P107=H107,IF(ISBLANK(G107),"",F107&amp;" - "&amp;G107),IF(P107=K107,IF(ISBLANK(J107),"",I107&amp;" - "&amp;J107),IF(ISBLANK(M107),"",L107&amp;" - "&amp;M107)))</f>
        <v/>
      </c>
      <c r="P107">
        <f>MIN(H107,K107,N107)</f>
        <v/>
      </c>
      <c r="Q107">
        <f>D107*P107</f>
        <v/>
      </c>
      <c r="R107">
        <f>IF(ISBLANK(E107),0,D107*E107)</f>
        <v/>
      </c>
      <c r="S107">
        <f>IF(R107=0,0,(R107-Q107)/R107)</f>
        <v/>
      </c>
      <c r="T107" t="n">
        <v>60</v>
      </c>
      <c r="U107" t="inlineStr">
        <is>
          <t>LAUNCH_INVENTORY</t>
        </is>
      </c>
    </row>
    <row r="108">
      <c r="A108" t="inlineStr">
        <is>
          <t>A6540</t>
        </is>
      </c>
      <c r="B108" t="inlineStr">
        <is>
          <t>S01</t>
        </is>
      </c>
      <c r="C108" t="inlineStr">
        <is>
          <t>GRADIENT COMPRESSION STOCKING, WAIST LENGTH, 30-40 MMHG, EACH</t>
        </is>
      </c>
      <c r="D108" t="n">
        <v>3</v>
      </c>
      <c r="E108" t="n">
        <v>113.61</v>
      </c>
      <c r="O108">
        <f>IF(P108=H108,IF(ISBLANK(G108),"",F108&amp;" - "&amp;G108),IF(P108=K108,IF(ISBLANK(J108),"",I108&amp;" - "&amp;J108),IF(ISBLANK(M108),"",L108&amp;" - "&amp;M108)))</f>
        <v/>
      </c>
      <c r="P108">
        <f>MIN(H108,K108,N108)</f>
        <v/>
      </c>
      <c r="Q108">
        <f>D108*P108</f>
        <v/>
      </c>
      <c r="R108">
        <f>IF(ISBLANK(E108),0,D108*E108)</f>
        <v/>
      </c>
      <c r="S108">
        <f>IF(R108=0,0,(R108-Q108)/R108)</f>
        <v/>
      </c>
      <c r="T108" t="n">
        <v>60</v>
      </c>
      <c r="U108" t="inlineStr">
        <is>
          <t>LAUNCH_INVENTORY</t>
        </is>
      </c>
    </row>
    <row r="109">
      <c r="A109" t="inlineStr">
        <is>
          <t>A6525</t>
        </is>
      </c>
      <c r="B109" t="inlineStr">
        <is>
          <t>S04</t>
        </is>
      </c>
      <c r="C109" t="inlineStr">
        <is>
          <t>GRADIENT COMPRESSION GARMENT, LOWER LEG AND FOOT, PADDED, FOR NIGHTTIME USE, CUSTOM, EACH</t>
        </is>
      </c>
      <c r="D109" t="n">
        <v>3</v>
      </c>
      <c r="E109" t="n">
        <v>753.55</v>
      </c>
      <c r="O109">
        <f>IF(P109=H109,IF(ISBLANK(G109),"",F109&amp;" - "&amp;G109),IF(P109=K109,IF(ISBLANK(J109),"",I109&amp;" - "&amp;J109),IF(ISBLANK(M109),"",L109&amp;" - "&amp;M109)))</f>
        <v/>
      </c>
      <c r="P109">
        <f>MIN(H109,K109,N109)</f>
        <v/>
      </c>
      <c r="Q109">
        <f>D109*P109</f>
        <v/>
      </c>
      <c r="R109">
        <f>IF(ISBLANK(E109),0,D109*E109)</f>
        <v/>
      </c>
      <c r="S109">
        <f>IF(R109=0,0,(R109-Q109)/R109)</f>
        <v/>
      </c>
      <c r="T109" t="n">
        <v>60</v>
      </c>
      <c r="U109" t="inlineStr">
        <is>
          <t>LAUNCH_INVENTORY</t>
        </is>
      </c>
    </row>
    <row r="110">
      <c r="A110" t="inlineStr">
        <is>
          <t>A6524</t>
        </is>
      </c>
      <c r="B110" t="inlineStr">
        <is>
          <t>S04</t>
        </is>
      </c>
      <c r="C110" t="inlineStr">
        <is>
          <t>GRADIENT COMPRESSION GARMENT, LOWER LEG AND FOOT, PADDED, FOR NIGHTTIME USE, EACH</t>
        </is>
      </c>
      <c r="D110" t="n">
        <v>3</v>
      </c>
      <c r="E110" t="n">
        <v>373.26</v>
      </c>
      <c r="O110">
        <f>IF(P110=H110,IF(ISBLANK(G110),"",F110&amp;" - "&amp;G110),IF(P110=K110,IF(ISBLANK(J110),"",I110&amp;" - "&amp;J110),IF(ISBLANK(M110),"",L110&amp;" - "&amp;M110)))</f>
        <v/>
      </c>
      <c r="P110">
        <f>MIN(H110,K110,N110)</f>
        <v/>
      </c>
      <c r="Q110">
        <f>D110*P110</f>
        <v/>
      </c>
      <c r="R110">
        <f>IF(ISBLANK(E110),0,D110*E110)</f>
        <v/>
      </c>
      <c r="S110">
        <f>IF(R110=0,0,(R110-Q110)/R110)</f>
        <v/>
      </c>
      <c r="T110" t="n">
        <v>60</v>
      </c>
      <c r="U110" t="inlineStr">
        <is>
          <t>LAUNCH_INVENTORY</t>
        </is>
      </c>
    </row>
    <row r="111">
      <c r="A111" t="inlineStr">
        <is>
          <t>A6523</t>
        </is>
      </c>
      <c r="B111" t="inlineStr">
        <is>
          <t>S04</t>
        </is>
      </c>
      <c r="C111" t="inlineStr">
        <is>
          <t>GRADIENT COMPRESSION GARMENT, ARM, PADDED, FOR NIGHTTIME USE, CUSTOM, EACH</t>
        </is>
      </c>
      <c r="D111" t="n">
        <v>3</v>
      </c>
      <c r="E111" t="n">
        <v>709.85</v>
      </c>
      <c r="O111">
        <f>IF(P111=H111,IF(ISBLANK(G111),"",F111&amp;" - "&amp;G111),IF(P111=K111,IF(ISBLANK(J111),"",I111&amp;" - "&amp;J111),IF(ISBLANK(M111),"",L111&amp;" - "&amp;M111)))</f>
        <v/>
      </c>
      <c r="P111">
        <f>MIN(H111,K111,N111)</f>
        <v/>
      </c>
      <c r="Q111">
        <f>D111*P111</f>
        <v/>
      </c>
      <c r="R111">
        <f>IF(ISBLANK(E111),0,D111*E111)</f>
        <v/>
      </c>
      <c r="S111">
        <f>IF(R111=0,0,(R111-Q111)/R111)</f>
        <v/>
      </c>
      <c r="T111" t="n">
        <v>60</v>
      </c>
      <c r="U111" t="inlineStr">
        <is>
          <t>LAUNCH_INVENTORY</t>
        </is>
      </c>
    </row>
    <row r="112">
      <c r="A112" t="inlineStr">
        <is>
          <t>A6532</t>
        </is>
      </c>
      <c r="B112" t="inlineStr">
        <is>
          <t>S01</t>
        </is>
      </c>
      <c r="C112" t="inlineStr">
        <is>
          <t>GRADIENT COMPRESSION STOCKING, BELOW KNEE, 40-50 MMHG, USED AS A SURGICAL DRESSING, EACH</t>
        </is>
      </c>
      <c r="D112" t="n">
        <v>3</v>
      </c>
      <c r="E112" t="n">
        <v>85.18000000000001</v>
      </c>
      <c r="O112">
        <f>IF(P112=H112,IF(ISBLANK(G112),"",F112&amp;" - "&amp;G112),IF(P112=K112,IF(ISBLANK(J112),"",I112&amp;" - "&amp;J112),IF(ISBLANK(M112),"",L112&amp;" - "&amp;M112)))</f>
        <v/>
      </c>
      <c r="P112">
        <f>MIN(H112,K112,N112)</f>
        <v/>
      </c>
      <c r="Q112">
        <f>D112*P112</f>
        <v/>
      </c>
      <c r="R112">
        <f>IF(ISBLANK(E112),0,D112*E112)</f>
        <v/>
      </c>
      <c r="S112">
        <f>IF(R112=0,0,(R112-Q112)/R112)</f>
        <v/>
      </c>
      <c r="T112" t="n">
        <v>60</v>
      </c>
      <c r="U112" t="inlineStr">
        <is>
          <t>LAUNCH_INVENTORY</t>
        </is>
      </c>
    </row>
    <row r="113">
      <c r="A113" t="inlineStr">
        <is>
          <t>A6540</t>
        </is>
      </c>
      <c r="B113" t="inlineStr">
        <is>
          <t>S04</t>
        </is>
      </c>
      <c r="C113" t="inlineStr">
        <is>
          <t>GRADIENT COMPRESSION STOCKING, WAIST LENGTH, 30-40 MMHG, EACH</t>
        </is>
      </c>
      <c r="D113" t="n">
        <v>3</v>
      </c>
      <c r="E113" t="n">
        <v>113.61</v>
      </c>
      <c r="O113">
        <f>IF(P113=H113,IF(ISBLANK(G113),"",F113&amp;" - "&amp;G113),IF(P113=K113,IF(ISBLANK(J113),"",I113&amp;" - "&amp;J113),IF(ISBLANK(M113),"",L113&amp;" - "&amp;M113)))</f>
        <v/>
      </c>
      <c r="P113">
        <f>MIN(H113,K113,N113)</f>
        <v/>
      </c>
      <c r="Q113">
        <f>D113*P113</f>
        <v/>
      </c>
      <c r="R113">
        <f>IF(ISBLANK(E113),0,D113*E113)</f>
        <v/>
      </c>
      <c r="S113">
        <f>IF(R113=0,0,(R113-Q113)/R113)</f>
        <v/>
      </c>
      <c r="T113" t="n">
        <v>60</v>
      </c>
      <c r="U113" t="inlineStr">
        <is>
          <t>LAUNCH_INVENTORY</t>
        </is>
      </c>
    </row>
    <row r="114">
      <c r="A114" t="inlineStr">
        <is>
          <t>A6539</t>
        </is>
      </c>
      <c r="B114" t="inlineStr">
        <is>
          <t>S04</t>
        </is>
      </c>
      <c r="C114" t="inlineStr">
        <is>
          <t>GRADIENT COMPRESSION STOCKING, WAIST LENGTH, 18-30 MMHG, EACH</t>
        </is>
      </c>
      <c r="D114" t="n">
        <v>3</v>
      </c>
      <c r="E114" t="n">
        <v>95.29000000000001</v>
      </c>
      <c r="O114">
        <f>IF(P114=H114,IF(ISBLANK(G114),"",F114&amp;" - "&amp;G114),IF(P114=K114,IF(ISBLANK(J114),"",I114&amp;" - "&amp;J114),IF(ISBLANK(M114),"",L114&amp;" - "&amp;M114)))</f>
        <v/>
      </c>
      <c r="P114">
        <f>MIN(H114,K114,N114)</f>
        <v/>
      </c>
      <c r="Q114">
        <f>D114*P114</f>
        <v/>
      </c>
      <c r="R114">
        <f>IF(ISBLANK(E114),0,D114*E114)</f>
        <v/>
      </c>
      <c r="S114">
        <f>IF(R114=0,0,(R114-Q114)/R114)</f>
        <v/>
      </c>
      <c r="T114" t="n">
        <v>60</v>
      </c>
      <c r="U114" t="inlineStr">
        <is>
          <t>LAUNCH_INVENTORY</t>
        </is>
      </c>
    </row>
    <row r="115">
      <c r="A115" t="inlineStr">
        <is>
          <t>A6564</t>
        </is>
      </c>
      <c r="B115" t="inlineStr">
        <is>
          <t>S04</t>
        </is>
      </c>
      <c r="C115" t="inlineStr">
        <is>
          <t>GRADIENT COMPRESSION STOCKING, WAIST LENGTH, 40 MMHG OR GREATER, CUSTOM, EACH</t>
        </is>
      </c>
      <c r="D115" t="n">
        <v>3</v>
      </c>
      <c r="E115" t="n">
        <v>1065.02</v>
      </c>
      <c r="O115">
        <f>IF(P115=H115,IF(ISBLANK(G115),"",F115&amp;" - "&amp;G115),IF(P115=K115,IF(ISBLANK(J115),"",I115&amp;" - "&amp;J115),IF(ISBLANK(M115),"",L115&amp;" - "&amp;M115)))</f>
        <v/>
      </c>
      <c r="P115">
        <f>MIN(H115,K115,N115)</f>
        <v/>
      </c>
      <c r="Q115">
        <f>D115*P115</f>
        <v/>
      </c>
      <c r="R115">
        <f>IF(ISBLANK(E115),0,D115*E115)</f>
        <v/>
      </c>
      <c r="S115">
        <f>IF(R115=0,0,(R115-Q115)/R115)</f>
        <v/>
      </c>
      <c r="T115" t="n">
        <v>60</v>
      </c>
      <c r="U115" t="inlineStr">
        <is>
          <t>LAUNCH_INVENTORY</t>
        </is>
      </c>
    </row>
    <row r="116">
      <c r="A116" t="inlineStr">
        <is>
          <t>A6563</t>
        </is>
      </c>
      <c r="B116" t="inlineStr">
        <is>
          <t>S04</t>
        </is>
      </c>
      <c r="C116" t="inlineStr">
        <is>
          <t>GRADIENT COMPRESSION STOCKING, WAIST LENGTH, 30-40 MMHG, CUSTOM, EACH</t>
        </is>
      </c>
      <c r="D116" t="n">
        <v>3</v>
      </c>
      <c r="E116" t="n">
        <v>988.6799999999999</v>
      </c>
      <c r="O116">
        <f>IF(P116=H116,IF(ISBLANK(G116),"",F116&amp;" - "&amp;G116),IF(P116=K116,IF(ISBLANK(J116),"",I116&amp;" - "&amp;J116),IF(ISBLANK(M116),"",L116&amp;" - "&amp;M116)))</f>
        <v/>
      </c>
      <c r="P116">
        <f>MIN(H116,K116,N116)</f>
        <v/>
      </c>
      <c r="Q116">
        <f>D116*P116</f>
        <v/>
      </c>
      <c r="R116">
        <f>IF(ISBLANK(E116),0,D116*E116)</f>
        <v/>
      </c>
      <c r="S116">
        <f>IF(R116=0,0,(R116-Q116)/R116)</f>
        <v/>
      </c>
      <c r="T116" t="n">
        <v>60</v>
      </c>
      <c r="U116" t="inlineStr">
        <is>
          <t>LAUNCH_INVENTORY</t>
        </is>
      </c>
    </row>
    <row r="117">
      <c r="A117" t="inlineStr">
        <is>
          <t>A6562</t>
        </is>
      </c>
      <c r="B117" t="inlineStr">
        <is>
          <t>S04</t>
        </is>
      </c>
      <c r="C117" t="inlineStr">
        <is>
          <t>GRADIENT COMPRESSION STOCKING, WAIST LENGTH, 18-30 MMHG, CUSTOM, EACH</t>
        </is>
      </c>
      <c r="D117" t="n">
        <v>3</v>
      </c>
      <c r="E117" t="n">
        <v>988.6799999999999</v>
      </c>
      <c r="O117">
        <f>IF(P117=H117,IF(ISBLANK(G117),"",F117&amp;" - "&amp;G117),IF(P117=K117,IF(ISBLANK(J117),"",I117&amp;" - "&amp;J117),IF(ISBLANK(M117),"",L117&amp;" - "&amp;M117)))</f>
        <v/>
      </c>
      <c r="P117">
        <f>MIN(H117,K117,N117)</f>
        <v/>
      </c>
      <c r="Q117">
        <f>D117*P117</f>
        <v/>
      </c>
      <c r="R117">
        <f>IF(ISBLANK(E117),0,D117*E117)</f>
        <v/>
      </c>
      <c r="S117">
        <f>IF(R117=0,0,(R117-Q117)/R117)</f>
        <v/>
      </c>
      <c r="T117" t="n">
        <v>60</v>
      </c>
      <c r="U117" t="inlineStr">
        <is>
          <t>LAUNCH_INVENTORY</t>
        </is>
      </c>
    </row>
    <row r="118">
      <c r="A118" t="inlineStr">
        <is>
          <t>A6558</t>
        </is>
      </c>
      <c r="B118" t="inlineStr">
        <is>
          <t>S04</t>
        </is>
      </c>
      <c r="C118" t="inlineStr">
        <is>
          <t>GRADIENT COMPRESSION STOCKING, THIGH LENGTH, 40 MMHG OR GREATER, CUSTOM, EACH</t>
        </is>
      </c>
      <c r="D118" t="n">
        <v>3</v>
      </c>
      <c r="E118" t="n">
        <v>311.75</v>
      </c>
      <c r="O118">
        <f>IF(P118=H118,IF(ISBLANK(G118),"",F118&amp;" - "&amp;G118),IF(P118=K118,IF(ISBLANK(J118),"",I118&amp;" - "&amp;J118),IF(ISBLANK(M118),"",L118&amp;" - "&amp;M118)))</f>
        <v/>
      </c>
      <c r="P118">
        <f>MIN(H118,K118,N118)</f>
        <v/>
      </c>
      <c r="Q118">
        <f>D118*P118</f>
        <v/>
      </c>
      <c r="R118">
        <f>IF(ISBLANK(E118),0,D118*E118)</f>
        <v/>
      </c>
      <c r="S118">
        <f>IF(R118=0,0,(R118-Q118)/R118)</f>
        <v/>
      </c>
      <c r="T118" t="n">
        <v>60</v>
      </c>
      <c r="U118" t="inlineStr">
        <is>
          <t>LAUNCH_INVENTORY</t>
        </is>
      </c>
    </row>
    <row r="119">
      <c r="A119" t="inlineStr">
        <is>
          <t>A6231</t>
        </is>
      </c>
      <c r="B119" t="inlineStr">
        <is>
          <t>S01</t>
        </is>
      </c>
      <c r="C119" t="inlineStr">
        <is>
          <t>GAUZE, IMPREGNATED, HYDROGEL, FOR DIRECT WOUND CONTACT, STERILE, PAD SIZE 16 SQ. IN. OR LESS, EACH DRESSING</t>
        </is>
      </c>
      <c r="D119" t="n">
        <v>3</v>
      </c>
      <c r="E119" t="n">
        <v>6.53</v>
      </c>
      <c r="O119">
        <f>IF(P119=H119,IF(ISBLANK(G119),"",F119&amp;" - "&amp;G119),IF(P119=K119,IF(ISBLANK(J119),"",I119&amp;" - "&amp;J119),IF(ISBLANK(M119),"",L119&amp;" - "&amp;M119)))</f>
        <v/>
      </c>
      <c r="P119">
        <f>MIN(H119,K119,N119)</f>
        <v/>
      </c>
      <c r="Q119">
        <f>D119*P119</f>
        <v/>
      </c>
      <c r="R119">
        <f>IF(ISBLANK(E119),0,D119*E119)</f>
        <v/>
      </c>
      <c r="S119">
        <f>IF(R119=0,0,(R119-Q119)/R119)</f>
        <v/>
      </c>
      <c r="T119" t="n">
        <v>60</v>
      </c>
      <c r="U119" t="inlineStr">
        <is>
          <t>LAUNCH_INVENTORY</t>
        </is>
      </c>
    </row>
    <row r="120">
      <c r="A120" t="inlineStr">
        <is>
          <t>A6237</t>
        </is>
      </c>
      <c r="B120" t="inlineStr">
        <is>
          <t>S01</t>
        </is>
      </c>
      <c r="C120" t="inlineStr">
        <is>
          <t>HYDROCOLLOID DRESSING, WOUND COVER, STERILE, PAD SIZE 16 SQ. IN. OR LESS, WITH ANY SIZE ADHESIVE BORDER, EACH DRESSING</t>
        </is>
      </c>
      <c r="D120" t="n">
        <v>3</v>
      </c>
      <c r="E120" t="n">
        <v>11.05</v>
      </c>
      <c r="O120">
        <f>IF(P120=H120,IF(ISBLANK(G120),"",F120&amp;" - "&amp;G120),IF(P120=K120,IF(ISBLANK(J120),"",I120&amp;" - "&amp;J120),IF(ISBLANK(M120),"",L120&amp;" - "&amp;M120)))</f>
        <v/>
      </c>
      <c r="P120">
        <f>MIN(H120,K120,N120)</f>
        <v/>
      </c>
      <c r="Q120">
        <f>D120*P120</f>
        <v/>
      </c>
      <c r="R120">
        <f>IF(ISBLANK(E120),0,D120*E120)</f>
        <v/>
      </c>
      <c r="S120">
        <f>IF(R120=0,0,(R120-Q120)/R120)</f>
        <v/>
      </c>
      <c r="T120" t="n">
        <v>60</v>
      </c>
      <c r="U120" t="inlineStr">
        <is>
          <t>LAUNCH_INVENTORY</t>
        </is>
      </c>
    </row>
    <row r="121">
      <c r="A121" t="inlineStr">
        <is>
          <t>A6236</t>
        </is>
      </c>
      <c r="B121" t="inlineStr">
        <is>
          <t>S01</t>
        </is>
      </c>
      <c r="C121" t="inlineStr">
        <is>
          <t>HYDROCOLLOID DRESSING, WOUND COVER, STERILE, PAD SIZE MORE THAN 48 SQ. IN., WITHOUT ADHESIVE BORDER, EACH DRESSING</t>
        </is>
      </c>
      <c r="D121" t="n">
        <v>3</v>
      </c>
      <c r="E121" t="n">
        <v>38.07</v>
      </c>
      <c r="O121">
        <f>IF(P121=H121,IF(ISBLANK(G121),"",F121&amp;" - "&amp;G121),IF(P121=K121,IF(ISBLANK(J121),"",I121&amp;" - "&amp;J121),IF(ISBLANK(M121),"",L121&amp;" - "&amp;M121)))</f>
        <v/>
      </c>
      <c r="P121">
        <f>MIN(H121,K121,N121)</f>
        <v/>
      </c>
      <c r="Q121">
        <f>D121*P121</f>
        <v/>
      </c>
      <c r="R121">
        <f>IF(ISBLANK(E121),0,D121*E121)</f>
        <v/>
      </c>
      <c r="S121">
        <f>IF(R121=0,0,(R121-Q121)/R121)</f>
        <v/>
      </c>
      <c r="T121" t="n">
        <v>60</v>
      </c>
      <c r="U121" t="inlineStr">
        <is>
          <t>LAUNCH_INVENTORY</t>
        </is>
      </c>
    </row>
    <row r="122">
      <c r="A122" t="inlineStr">
        <is>
          <t>A6235</t>
        </is>
      </c>
      <c r="B122" t="inlineStr">
        <is>
          <t>S01</t>
        </is>
      </c>
      <c r="C122" t="inlineStr">
        <is>
          <t>HYDROCOLLOID DRESSING, WOUND COVER, STERILE, PAD SIZE MORE THAN 16 SQ. IN. BUT LESS THAN OR EQUAL TO 48 SQ. IN., WITHOUT ADHESIVE BORDER, EACH DRESSING</t>
        </is>
      </c>
      <c r="D122" t="n">
        <v>3</v>
      </c>
      <c r="E122" t="n">
        <v>23.5</v>
      </c>
      <c r="O122">
        <f>IF(P122=H122,IF(ISBLANK(G122),"",F122&amp;" - "&amp;G122),IF(P122=K122,IF(ISBLANK(J122),"",I122&amp;" - "&amp;J122),IF(ISBLANK(M122),"",L122&amp;" - "&amp;M122)))</f>
        <v/>
      </c>
      <c r="P122">
        <f>MIN(H122,K122,N122)</f>
        <v/>
      </c>
      <c r="Q122">
        <f>D122*P122</f>
        <v/>
      </c>
      <c r="R122">
        <f>IF(ISBLANK(E122),0,D122*E122)</f>
        <v/>
      </c>
      <c r="S122">
        <f>IF(R122=0,0,(R122-Q122)/R122)</f>
        <v/>
      </c>
      <c r="T122" t="n">
        <v>60</v>
      </c>
      <c r="U122" t="inlineStr">
        <is>
          <t>LAUNCH_INVENTORY</t>
        </is>
      </c>
    </row>
    <row r="123">
      <c r="A123" t="inlineStr">
        <is>
          <t>E0978</t>
        </is>
      </c>
      <c r="B123" t="inlineStr">
        <is>
          <t>M06A</t>
        </is>
      </c>
      <c r="C123" t="inlineStr">
        <is>
          <t>WHEELCHAIR ACCESSORY, POSITIONING BELT/SAFETY BELT/PELVIC STRAP, EACH</t>
        </is>
      </c>
      <c r="D123" t="n">
        <v>3</v>
      </c>
      <c r="E123" t="n">
        <v>25.52</v>
      </c>
      <c r="O123">
        <f>IF(P123=H123,IF(ISBLANK(G123),"",F123&amp;" - "&amp;G123),IF(P123=K123,IF(ISBLANK(J123),"",I123&amp;" - "&amp;J123),IF(ISBLANK(M123),"",L123&amp;" - "&amp;M123)))</f>
        <v/>
      </c>
      <c r="P123">
        <f>MIN(H123,K123,N123)</f>
        <v/>
      </c>
      <c r="Q123">
        <f>D123*P123</f>
        <v/>
      </c>
      <c r="R123">
        <f>IF(ISBLANK(E123),0,D123*E123)</f>
        <v/>
      </c>
      <c r="S123">
        <f>IF(R123=0,0,(R123-Q123)/R123)</f>
        <v/>
      </c>
      <c r="T123" t="n">
        <v>60</v>
      </c>
      <c r="U123" t="inlineStr">
        <is>
          <t>LAUNCH_INVENTORY</t>
        </is>
      </c>
    </row>
    <row r="124">
      <c r="A124" t="inlineStr">
        <is>
          <t>E2211</t>
        </is>
      </c>
      <c r="B124" t="inlineStr">
        <is>
          <t>M06A</t>
        </is>
      </c>
      <c r="C124" t="inlineStr">
        <is>
          <t>MANUAL WHEELCHAIR ACCESSORY, PNEUMATIC PROPULSION TIRE, ANY SIZE, EACH</t>
        </is>
      </c>
      <c r="D124" t="n">
        <v>3</v>
      </c>
      <c r="E124" t="n">
        <v>34.03</v>
      </c>
      <c r="O124">
        <f>IF(P124=H124,IF(ISBLANK(G124),"",F124&amp;" - "&amp;G124),IF(P124=K124,IF(ISBLANK(J124),"",I124&amp;" - "&amp;J124),IF(ISBLANK(M124),"",L124&amp;" - "&amp;M124)))</f>
        <v/>
      </c>
      <c r="P124">
        <f>MIN(H124,K124,N124)</f>
        <v/>
      </c>
      <c r="Q124">
        <f>D124*P124</f>
        <v/>
      </c>
      <c r="R124">
        <f>IF(ISBLANK(E124),0,D124*E124)</f>
        <v/>
      </c>
      <c r="S124">
        <f>IF(R124=0,0,(R124-Q124)/R124)</f>
        <v/>
      </c>
      <c r="T124" t="n">
        <v>60</v>
      </c>
      <c r="U124" t="inlineStr">
        <is>
          <t>LAUNCH_INVENTORY</t>
        </is>
      </c>
    </row>
    <row r="125">
      <c r="A125" t="inlineStr">
        <is>
          <t>E2227</t>
        </is>
      </c>
      <c r="B125" t="inlineStr">
        <is>
          <t>M06A</t>
        </is>
      </c>
      <c r="C125" t="inlineStr">
        <is>
          <t>MANUAL WHEELCHAIR ACCESSORY, GEAR REDUCTION DRIVE WHEEL, EACH</t>
        </is>
      </c>
      <c r="D125" t="n">
        <v>3</v>
      </c>
      <c r="E125" t="n">
        <v>251.3</v>
      </c>
      <c r="O125">
        <f>IF(P125=H125,IF(ISBLANK(G125),"",F125&amp;" - "&amp;G125),IF(P125=K125,IF(ISBLANK(J125),"",I125&amp;" - "&amp;J125),IF(ISBLANK(M125),"",L125&amp;" - "&amp;M125)))</f>
        <v/>
      </c>
      <c r="P125">
        <f>MIN(H125,K125,N125)</f>
        <v/>
      </c>
      <c r="Q125">
        <f>D125*P125</f>
        <v/>
      </c>
      <c r="R125">
        <f>IF(ISBLANK(E125),0,D125*E125)</f>
        <v/>
      </c>
      <c r="S125">
        <f>IF(R125=0,0,(R125-Q125)/R125)</f>
        <v/>
      </c>
      <c r="T125" t="n">
        <v>60</v>
      </c>
      <c r="U125" t="inlineStr">
        <is>
          <t>LAUNCH_INVENTORY</t>
        </is>
      </c>
    </row>
    <row r="126">
      <c r="A126" t="inlineStr">
        <is>
          <t>E2225</t>
        </is>
      </c>
      <c r="B126" t="inlineStr">
        <is>
          <t>M06A</t>
        </is>
      </c>
      <c r="C126" t="inlineStr">
        <is>
          <t>MANUAL WHEELCHAIR ACCESSORY, CASTER WHEEL EXCLUDES TIRE, ANY SIZE, REPLACEMENT ONLY, EACH</t>
        </is>
      </c>
      <c r="D126" t="n">
        <v>3</v>
      </c>
      <c r="E126" t="n">
        <v>19.31</v>
      </c>
      <c r="O126">
        <f>IF(P126=H126,IF(ISBLANK(G126),"",F126&amp;" - "&amp;G126),IF(P126=K126,IF(ISBLANK(J126),"",I126&amp;" - "&amp;J126),IF(ISBLANK(M126),"",L126&amp;" - "&amp;M126)))</f>
        <v/>
      </c>
      <c r="P126">
        <f>MIN(H126,K126,N126)</f>
        <v/>
      </c>
      <c r="Q126">
        <f>D126*P126</f>
        <v/>
      </c>
      <c r="R126">
        <f>IF(ISBLANK(E126),0,D126*E126)</f>
        <v/>
      </c>
      <c r="S126">
        <f>IF(R126=0,0,(R126-Q126)/R126)</f>
        <v/>
      </c>
      <c r="T126" t="n">
        <v>60</v>
      </c>
      <c r="U126" t="inlineStr">
        <is>
          <t>LAUNCH_INVENTORY</t>
        </is>
      </c>
    </row>
    <row r="127">
      <c r="A127" t="inlineStr">
        <is>
          <t>A6572</t>
        </is>
      </c>
      <c r="B127" t="inlineStr">
        <is>
          <t>S04</t>
        </is>
      </c>
      <c r="C127" t="inlineStr">
        <is>
          <t>GRADIENT COMPRESSION GARMENT, TOE CAPS, EACH</t>
        </is>
      </c>
      <c r="D127" t="n">
        <v>3</v>
      </c>
      <c r="E127" t="n">
        <v>102.35</v>
      </c>
      <c r="O127">
        <f>IF(P127=H127,IF(ISBLANK(G127),"",F127&amp;" - "&amp;G127),IF(P127=K127,IF(ISBLANK(J127),"",I127&amp;" - "&amp;J127),IF(ISBLANK(M127),"",L127&amp;" - "&amp;M127)))</f>
        <v/>
      </c>
      <c r="P127">
        <f>MIN(H127,K127,N127)</f>
        <v/>
      </c>
      <c r="Q127">
        <f>D127*P127</f>
        <v/>
      </c>
      <c r="R127">
        <f>IF(ISBLANK(E127),0,D127*E127)</f>
        <v/>
      </c>
      <c r="S127">
        <f>IF(R127=0,0,(R127-Q127)/R127)</f>
        <v/>
      </c>
      <c r="T127" t="n">
        <v>60</v>
      </c>
      <c r="U127" t="inlineStr">
        <is>
          <t>LAUNCH_INVENTORY</t>
        </is>
      </c>
    </row>
    <row r="128">
      <c r="A128" t="inlineStr">
        <is>
          <t>A6573</t>
        </is>
      </c>
      <c r="B128" t="inlineStr">
        <is>
          <t>S04</t>
        </is>
      </c>
      <c r="C128" t="inlineStr">
        <is>
          <t>GRADIENT COMPRESSION GARMENT, TOE CAPS, CUSTOM, EACH</t>
        </is>
      </c>
      <c r="D128" t="n">
        <v>3</v>
      </c>
      <c r="E128" t="n">
        <v>242.87</v>
      </c>
      <c r="O128">
        <f>IF(P128=H128,IF(ISBLANK(G128),"",F128&amp;" - "&amp;G128),IF(P128=K128,IF(ISBLANK(J128),"",I128&amp;" - "&amp;J128),IF(ISBLANK(M128),"",L128&amp;" - "&amp;M128)))</f>
        <v/>
      </c>
      <c r="P128">
        <f>MIN(H128,K128,N128)</f>
        <v/>
      </c>
      <c r="Q128">
        <f>D128*P128</f>
        <v/>
      </c>
      <c r="R128">
        <f>IF(ISBLANK(E128),0,D128*E128)</f>
        <v/>
      </c>
      <c r="S128">
        <f>IF(R128=0,0,(R128-Q128)/R128)</f>
        <v/>
      </c>
      <c r="T128" t="n">
        <v>60</v>
      </c>
      <c r="U128" t="inlineStr">
        <is>
          <t>LAUNCH_INVENTORY</t>
        </is>
      </c>
    </row>
    <row r="129">
      <c r="A129" t="inlineStr">
        <is>
          <t>A6574</t>
        </is>
      </c>
      <c r="B129" t="inlineStr">
        <is>
          <t>S04</t>
        </is>
      </c>
      <c r="C129" t="inlineStr">
        <is>
          <t>GRADIENT COMPRESSION ARM SLEEVE AND GLOVE COMBINATION, CUSTOM, EACH</t>
        </is>
      </c>
      <c r="D129" t="n">
        <v>3</v>
      </c>
      <c r="E129" t="n">
        <v>309.63</v>
      </c>
      <c r="O129">
        <f>IF(P129=H129,IF(ISBLANK(G129),"",F129&amp;" - "&amp;G129),IF(P129=K129,IF(ISBLANK(J129),"",I129&amp;" - "&amp;J129),IF(ISBLANK(M129),"",L129&amp;" - "&amp;M129)))</f>
        <v/>
      </c>
      <c r="P129">
        <f>MIN(H129,K129,N129)</f>
        <v/>
      </c>
      <c r="Q129">
        <f>D129*P129</f>
        <v/>
      </c>
      <c r="R129">
        <f>IF(ISBLANK(E129),0,D129*E129)</f>
        <v/>
      </c>
      <c r="S129">
        <f>IF(R129=0,0,(R129-Q129)/R129)</f>
        <v/>
      </c>
      <c r="T129" t="n">
        <v>60</v>
      </c>
      <c r="U129" t="inlineStr">
        <is>
          <t>LAUNCH_INVENTORY</t>
        </is>
      </c>
    </row>
    <row r="130">
      <c r="A130" t="inlineStr">
        <is>
          <t>A6575</t>
        </is>
      </c>
      <c r="B130" t="inlineStr">
        <is>
          <t>S04</t>
        </is>
      </c>
      <c r="C130" t="inlineStr">
        <is>
          <t>GRADIENT  COMPRESSION ARM SLEEVE AND GLOVE COMBINATION, EACH</t>
        </is>
      </c>
      <c r="D130" t="n">
        <v>3</v>
      </c>
      <c r="E130" t="n">
        <v>100.34</v>
      </c>
      <c r="O130">
        <f>IF(P130=H130,IF(ISBLANK(G130),"",F130&amp;" - "&amp;G130),IF(P130=K130,IF(ISBLANK(J130),"",I130&amp;" - "&amp;J130),IF(ISBLANK(M130),"",L130&amp;" - "&amp;M130)))</f>
        <v/>
      </c>
      <c r="P130">
        <f>MIN(H130,K130,N130)</f>
        <v/>
      </c>
      <c r="Q130">
        <f>D130*P130</f>
        <v/>
      </c>
      <c r="R130">
        <f>IF(ISBLANK(E130),0,D130*E130)</f>
        <v/>
      </c>
      <c r="S130">
        <f>IF(R130=0,0,(R130-Q130)/R130)</f>
        <v/>
      </c>
      <c r="T130" t="n">
        <v>60</v>
      </c>
      <c r="U130" t="inlineStr">
        <is>
          <t>LAUNCH_INVENTORY</t>
        </is>
      </c>
    </row>
    <row r="131">
      <c r="A131" t="inlineStr">
        <is>
          <t>A6603</t>
        </is>
      </c>
      <c r="B131" t="inlineStr">
        <is>
          <t>S04</t>
        </is>
      </c>
      <c r="C131" t="inlineStr">
        <is>
          <t>GRADIENT COMPRESSION BANDAGING SUPPLY, LOW DENSITY CHANNEL FOAM SHEET, PER 250 SQUARE CENTIMETERS, EACH</t>
        </is>
      </c>
      <c r="D131" t="n">
        <v>3</v>
      </c>
      <c r="E131" t="n">
        <v>2.3</v>
      </c>
      <c r="O131">
        <f>IF(P131=H131,IF(ISBLANK(G131),"",F131&amp;" - "&amp;G131),IF(P131=K131,IF(ISBLANK(J131),"",I131&amp;" - "&amp;J131),IF(ISBLANK(M131),"",L131&amp;" - "&amp;M131)))</f>
        <v/>
      </c>
      <c r="P131">
        <f>MIN(H131,K131,N131)</f>
        <v/>
      </c>
      <c r="Q131">
        <f>D131*P131</f>
        <v/>
      </c>
      <c r="R131">
        <f>IF(ISBLANK(E131),0,D131*E131)</f>
        <v/>
      </c>
      <c r="S131">
        <f>IF(R131=0,0,(R131-Q131)/R131)</f>
        <v/>
      </c>
      <c r="T131" t="n">
        <v>60</v>
      </c>
      <c r="U131" t="inlineStr">
        <is>
          <t>LAUNCH_INVENTORY</t>
        </is>
      </c>
    </row>
    <row r="132">
      <c r="A132" t="inlineStr">
        <is>
          <t>A6604</t>
        </is>
      </c>
      <c r="B132" t="inlineStr">
        <is>
          <t>S04</t>
        </is>
      </c>
      <c r="C132" t="inlineStr">
        <is>
          <t>GRADIENT COMPRESSION BANDAGING SUPPLY, LOW DENSITY FLAT FOAM SHEET, PER 250 SQUARE CENTIMETERS, EACH</t>
        </is>
      </c>
      <c r="D132" t="n">
        <v>3</v>
      </c>
      <c r="E132" t="n">
        <v>1.34</v>
      </c>
      <c r="O132">
        <f>IF(P132=H132,IF(ISBLANK(G132),"",F132&amp;" - "&amp;G132),IF(P132=K132,IF(ISBLANK(J132),"",I132&amp;" - "&amp;J132),IF(ISBLANK(M132),"",L132&amp;" - "&amp;M132)))</f>
        <v/>
      </c>
      <c r="P132">
        <f>MIN(H132,K132,N132)</f>
        <v/>
      </c>
      <c r="Q132">
        <f>D132*P132</f>
        <v/>
      </c>
      <c r="R132">
        <f>IF(ISBLANK(E132),0,D132*E132)</f>
        <v/>
      </c>
      <c r="S132">
        <f>IF(R132=0,0,(R132-Q132)/R132)</f>
        <v/>
      </c>
      <c r="T132" t="n">
        <v>60</v>
      </c>
      <c r="U132" t="inlineStr">
        <is>
          <t>LAUNCH_INVENTORY</t>
        </is>
      </c>
    </row>
    <row r="133">
      <c r="A133" t="inlineStr">
        <is>
          <t>A6243</t>
        </is>
      </c>
      <c r="B133" t="inlineStr">
        <is>
          <t>S01</t>
        </is>
      </c>
      <c r="C133" t="inlineStr">
        <is>
          <t>HYDROGEL DRESSING, WOUND COVER, STERILE, PAD SIZE MORE THAN 16 SQ. IN. BUT LESS THAN OR EQUAL TO 48 SQ. IN., WITHOUT ADHESIVE BORDER, EACH DRESSING</t>
        </is>
      </c>
      <c r="D133" t="n">
        <v>3</v>
      </c>
      <c r="E133" t="n">
        <v>17.22</v>
      </c>
      <c r="O133">
        <f>IF(P133=H133,IF(ISBLANK(G133),"",F133&amp;" - "&amp;G133),IF(P133=K133,IF(ISBLANK(J133),"",I133&amp;" - "&amp;J133),IF(ISBLANK(M133),"",L133&amp;" - "&amp;M133)))</f>
        <v/>
      </c>
      <c r="P133">
        <f>MIN(H133,K133,N133)</f>
        <v/>
      </c>
      <c r="Q133">
        <f>D133*P133</f>
        <v/>
      </c>
      <c r="R133">
        <f>IF(ISBLANK(E133),0,D133*E133)</f>
        <v/>
      </c>
      <c r="S133">
        <f>IF(R133=0,0,(R133-Q133)/R133)</f>
        <v/>
      </c>
      <c r="T133" t="n">
        <v>60</v>
      </c>
      <c r="U133" t="inlineStr">
        <is>
          <t>LAUNCH_INVENTORY</t>
        </is>
      </c>
    </row>
    <row r="134">
      <c r="A134" t="inlineStr">
        <is>
          <t>A6571</t>
        </is>
      </c>
      <c r="B134" t="inlineStr">
        <is>
          <t>S04</t>
        </is>
      </c>
      <c r="C134" t="inlineStr">
        <is>
          <t>GRADIENT COMPRESSION GARMENT, GENITAL REGION, CUSTOM, EACH</t>
        </is>
      </c>
      <c r="D134" t="n">
        <v>3</v>
      </c>
      <c r="E134" t="n">
        <v>662.9400000000001</v>
      </c>
      <c r="O134">
        <f>IF(P134=H134,IF(ISBLANK(G134),"",F134&amp;" - "&amp;G134),IF(P134=K134,IF(ISBLANK(J134),"",I134&amp;" - "&amp;J134),IF(ISBLANK(M134),"",L134&amp;" - "&amp;M134)))</f>
        <v/>
      </c>
      <c r="P134">
        <f>MIN(H134,K134,N134)</f>
        <v/>
      </c>
      <c r="Q134">
        <f>D134*P134</f>
        <v/>
      </c>
      <c r="R134">
        <f>IF(ISBLANK(E134),0,D134*E134)</f>
        <v/>
      </c>
      <c r="S134">
        <f>IF(R134=0,0,(R134-Q134)/R134)</f>
        <v/>
      </c>
      <c r="T134" t="n">
        <v>60</v>
      </c>
      <c r="U134" t="inlineStr">
        <is>
          <t>LAUNCH_INVENTORY</t>
        </is>
      </c>
    </row>
    <row r="135">
      <c r="A135" t="inlineStr">
        <is>
          <t>A6557</t>
        </is>
      </c>
      <c r="B135" t="inlineStr">
        <is>
          <t>S04</t>
        </is>
      </c>
      <c r="C135" t="inlineStr">
        <is>
          <t>GRADIENT COMPRESSION STOCKING, THIGH LENGTH, 30-40 MMHG, CUSTOM, EACH</t>
        </is>
      </c>
      <c r="D135" t="n">
        <v>3</v>
      </c>
      <c r="E135" t="n">
        <v>302.09</v>
      </c>
      <c r="O135">
        <f>IF(P135=H135,IF(ISBLANK(G135),"",F135&amp;" - "&amp;G135),IF(P135=K135,IF(ISBLANK(J135),"",I135&amp;" - "&amp;J135),IF(ISBLANK(M135),"",L135&amp;" - "&amp;M135)))</f>
        <v/>
      </c>
      <c r="P135">
        <f>MIN(H135,K135,N135)</f>
        <v/>
      </c>
      <c r="Q135">
        <f>D135*P135</f>
        <v/>
      </c>
      <c r="R135">
        <f>IF(ISBLANK(E135),0,D135*E135)</f>
        <v/>
      </c>
      <c r="S135">
        <f>IF(R135=0,0,(R135-Q135)/R135)</f>
        <v/>
      </c>
      <c r="T135" t="n">
        <v>60</v>
      </c>
      <c r="U135" t="inlineStr">
        <is>
          <t>LAUNCH_INVENTORY</t>
        </is>
      </c>
    </row>
    <row r="136">
      <c r="A136" t="inlineStr">
        <is>
          <t>A6552</t>
        </is>
      </c>
      <c r="B136" t="inlineStr">
        <is>
          <t>S04</t>
        </is>
      </c>
      <c r="C136" t="inlineStr">
        <is>
          <t>GRADIENT COMPRESSION STOCKING, BELOW KNEE, 30-40 MMHG, EACH</t>
        </is>
      </c>
      <c r="D136" t="n">
        <v>3</v>
      </c>
      <c r="E136" t="n">
        <v>56.45</v>
      </c>
      <c r="O136">
        <f>IF(P136=H136,IF(ISBLANK(G136),"",F136&amp;" - "&amp;G136),IF(P136=K136,IF(ISBLANK(J136),"",I136&amp;" - "&amp;J136),IF(ISBLANK(M136),"",L136&amp;" - "&amp;M136)))</f>
        <v/>
      </c>
      <c r="P136">
        <f>MIN(H136,K136,N136)</f>
        <v/>
      </c>
      <c r="Q136">
        <f>D136*P136</f>
        <v/>
      </c>
      <c r="R136">
        <f>IF(ISBLANK(E136),0,D136*E136)</f>
        <v/>
      </c>
      <c r="S136">
        <f>IF(R136=0,0,(R136-Q136)/R136)</f>
        <v/>
      </c>
      <c r="T136" t="n">
        <v>60</v>
      </c>
      <c r="U136" t="inlineStr">
        <is>
          <t>LAUNCH_INVENTORY</t>
        </is>
      </c>
    </row>
    <row r="137">
      <c r="A137" t="inlineStr">
        <is>
          <t>A6566</t>
        </is>
      </c>
      <c r="B137" t="inlineStr">
        <is>
          <t>S04</t>
        </is>
      </c>
      <c r="C137" t="inlineStr">
        <is>
          <t>GRADIENT COMPRESSION GARMENT, NECK/HEAD, EACH</t>
        </is>
      </c>
      <c r="D137" t="n">
        <v>3</v>
      </c>
      <c r="E137" t="n">
        <v>248.05</v>
      </c>
      <c r="O137">
        <f>IF(P137=H137,IF(ISBLANK(G137),"",F137&amp;" - "&amp;G137),IF(P137=K137,IF(ISBLANK(J137),"",I137&amp;" - "&amp;J137),IF(ISBLANK(M137),"",L137&amp;" - "&amp;M137)))</f>
        <v/>
      </c>
      <c r="P137">
        <f>MIN(H137,K137,N137)</f>
        <v/>
      </c>
      <c r="Q137">
        <f>D137*P137</f>
        <v/>
      </c>
      <c r="R137">
        <f>IF(ISBLANK(E137),0,D137*E137)</f>
        <v/>
      </c>
      <c r="S137">
        <f>IF(R137=0,0,(R137-Q137)/R137)</f>
        <v/>
      </c>
      <c r="T137" t="n">
        <v>60</v>
      </c>
      <c r="U137" t="inlineStr">
        <is>
          <t>LAUNCH_INVENTORY</t>
        </is>
      </c>
    </row>
    <row r="138">
      <c r="A138" t="inlineStr">
        <is>
          <t>A6565</t>
        </is>
      </c>
      <c r="B138" t="inlineStr">
        <is>
          <t>S04</t>
        </is>
      </c>
      <c r="C138" t="inlineStr">
        <is>
          <t>GRADIENT COMPRESSION GAUNTLET, CUSTOM, EACH</t>
        </is>
      </c>
      <c r="D138" t="n">
        <v>3</v>
      </c>
      <c r="E138" t="n">
        <v>170.84</v>
      </c>
      <c r="O138">
        <f>IF(P138=H138,IF(ISBLANK(G138),"",F138&amp;" - "&amp;G138),IF(P138=K138,IF(ISBLANK(J138),"",I138&amp;" - "&amp;J138),IF(ISBLANK(M138),"",L138&amp;" - "&amp;M138)))</f>
        <v/>
      </c>
      <c r="P138">
        <f>MIN(H138,K138,N138)</f>
        <v/>
      </c>
      <c r="Q138">
        <f>D138*P138</f>
        <v/>
      </c>
      <c r="R138">
        <f>IF(ISBLANK(E138),0,D138*E138)</f>
        <v/>
      </c>
      <c r="S138">
        <f>IF(R138=0,0,(R138-Q138)/R138)</f>
        <v/>
      </c>
      <c r="T138" t="n">
        <v>60</v>
      </c>
      <c r="U138" t="inlineStr">
        <is>
          <t>LAUNCH_INVENTORY</t>
        </is>
      </c>
    </row>
    <row r="139">
      <c r="A139" t="inlineStr">
        <is>
          <t>A6567</t>
        </is>
      </c>
      <c r="B139" t="inlineStr">
        <is>
          <t>S04</t>
        </is>
      </c>
      <c r="C139" t="inlineStr">
        <is>
          <t>GRADIENT COMPRESSION GARMENT, NECK/HEAD, CUSTOM, EACH</t>
        </is>
      </c>
      <c r="D139" t="n">
        <v>3</v>
      </c>
      <c r="E139" t="n">
        <v>779.38</v>
      </c>
      <c r="O139">
        <f>IF(P139=H139,IF(ISBLANK(G139),"",F139&amp;" - "&amp;G139),IF(P139=K139,IF(ISBLANK(J139),"",I139&amp;" - "&amp;J139),IF(ISBLANK(M139),"",L139&amp;" - "&amp;M139)))</f>
        <v/>
      </c>
      <c r="P139">
        <f>MIN(H139,K139,N139)</f>
        <v/>
      </c>
      <c r="Q139">
        <f>D139*P139</f>
        <v/>
      </c>
      <c r="R139">
        <f>IF(ISBLANK(E139),0,D139*E139)</f>
        <v/>
      </c>
      <c r="S139">
        <f>IF(R139=0,0,(R139-Q139)/R139)</f>
        <v/>
      </c>
      <c r="T139" t="n">
        <v>60</v>
      </c>
      <c r="U139" t="inlineStr">
        <is>
          <t>LAUNCH_INVENTORY</t>
        </is>
      </c>
    </row>
    <row r="140">
      <c r="A140" t="inlineStr">
        <is>
          <t>A6605</t>
        </is>
      </c>
      <c r="B140" t="inlineStr">
        <is>
          <t>S04</t>
        </is>
      </c>
      <c r="C140" t="inlineStr">
        <is>
          <t>GRADIENT COMPRESSION BANDAGING SUPPLY, PADDED FOAM, PER LINEAR YARD, ANY WIDTH, EACH</t>
        </is>
      </c>
      <c r="D140" t="n">
        <v>3</v>
      </c>
      <c r="E140" t="n">
        <v>1.53</v>
      </c>
      <c r="O140">
        <f>IF(P140=H140,IF(ISBLANK(G140),"",F140&amp;" - "&amp;G140),IF(P140=K140,IF(ISBLANK(J140),"",I140&amp;" - "&amp;J140),IF(ISBLANK(M140),"",L140&amp;" - "&amp;M140)))</f>
        <v/>
      </c>
      <c r="P140">
        <f>MIN(H140,K140,N140)</f>
        <v/>
      </c>
      <c r="Q140">
        <f>D140*P140</f>
        <v/>
      </c>
      <c r="R140">
        <f>IF(ISBLANK(E140),0,D140*E140)</f>
        <v/>
      </c>
      <c r="S140">
        <f>IF(R140=0,0,(R140-Q140)/R140)</f>
        <v/>
      </c>
      <c r="T140" t="n">
        <v>60</v>
      </c>
      <c r="U140" t="inlineStr">
        <is>
          <t>LAUNCH_INVENTORY</t>
        </is>
      </c>
    </row>
    <row r="141">
      <c r="A141" t="inlineStr">
        <is>
          <t>A6197</t>
        </is>
      </c>
      <c r="B141" t="inlineStr">
        <is>
          <t>S01</t>
        </is>
      </c>
      <c r="C141" t="inlineStr">
        <is>
          <t>ALGINATE OR OTHER FIBER GELLING DRESSING, WOUND COVER, STERILE, PAD SIZE MORE THAN 16 SQ. IN. BUT LESS THAN OR EQUAL TO 48 SQ. IN., EACH DRESSING</t>
        </is>
      </c>
      <c r="D141" t="n">
        <v>3</v>
      </c>
      <c r="E141" t="n">
        <v>22.98</v>
      </c>
      <c r="O141">
        <f>IF(P141=H141,IF(ISBLANK(G141),"",F141&amp;" - "&amp;G141),IF(P141=K141,IF(ISBLANK(J141),"",I141&amp;" - "&amp;J141),IF(ISBLANK(M141),"",L141&amp;" - "&amp;M141)))</f>
        <v/>
      </c>
      <c r="P141">
        <f>MIN(H141,K141,N141)</f>
        <v/>
      </c>
      <c r="Q141">
        <f>D141*P141</f>
        <v/>
      </c>
      <c r="R141">
        <f>IF(ISBLANK(E141),0,D141*E141)</f>
        <v/>
      </c>
      <c r="S141">
        <f>IF(R141=0,0,(R141-Q141)/R141)</f>
        <v/>
      </c>
      <c r="T141" t="n">
        <v>60</v>
      </c>
      <c r="U141" t="inlineStr">
        <is>
          <t>LAUNCH_INVENTORY</t>
        </is>
      </c>
    </row>
    <row r="142">
      <c r="A142" t="inlineStr">
        <is>
          <t>A6196</t>
        </is>
      </c>
      <c r="B142" t="inlineStr">
        <is>
          <t>S01</t>
        </is>
      </c>
      <c r="C142" t="inlineStr">
        <is>
          <t>ALGINATE OR OTHER FIBER GELLING DRESSING, WOUND COVER, STERILE, PAD SIZE 16 SQ. IN. OR LESS, EACH DRESSING</t>
        </is>
      </c>
      <c r="D142" t="n">
        <v>3</v>
      </c>
      <c r="E142" t="n">
        <v>10.28</v>
      </c>
      <c r="O142">
        <f>IF(P142=H142,IF(ISBLANK(G142),"",F142&amp;" - "&amp;G142),IF(P142=K142,IF(ISBLANK(J142),"",I142&amp;" - "&amp;J142),IF(ISBLANK(M142),"",L142&amp;" - "&amp;M142)))</f>
        <v/>
      </c>
      <c r="P142">
        <f>MIN(H142,K142,N142)</f>
        <v/>
      </c>
      <c r="Q142">
        <f>D142*P142</f>
        <v/>
      </c>
      <c r="R142">
        <f>IF(ISBLANK(E142),0,D142*E142)</f>
        <v/>
      </c>
      <c r="S142">
        <f>IF(R142=0,0,(R142-Q142)/R142)</f>
        <v/>
      </c>
      <c r="T142" t="n">
        <v>60</v>
      </c>
      <c r="U142" t="inlineStr">
        <is>
          <t>LAUNCH_INVENTORY</t>
        </is>
      </c>
    </row>
    <row r="143">
      <c r="A143" t="inlineStr">
        <is>
          <t>A6253</t>
        </is>
      </c>
      <c r="B143" t="inlineStr">
        <is>
          <t>S01</t>
        </is>
      </c>
      <c r="C143" t="inlineStr">
        <is>
          <t>SPECIALTY ABSORPTIVE DRESSING, WOUND COVER, STERILE, PAD SIZE MORE THAN 48 SQ. IN., WITHOUT ADHESIVE BORDER, EACH DRESSING</t>
        </is>
      </c>
      <c r="D143" t="n">
        <v>3</v>
      </c>
      <c r="E143" t="n">
        <v>8.85</v>
      </c>
      <c r="O143">
        <f>IF(P143=H143,IF(ISBLANK(G143),"",F143&amp;" - "&amp;G143),IF(P143=K143,IF(ISBLANK(J143),"",I143&amp;" - "&amp;J143),IF(ISBLANK(M143),"",L143&amp;" - "&amp;M143)))</f>
        <v/>
      </c>
      <c r="P143">
        <f>MIN(H143,K143,N143)</f>
        <v/>
      </c>
      <c r="Q143">
        <f>D143*P143</f>
        <v/>
      </c>
      <c r="R143">
        <f>IF(ISBLANK(E143),0,D143*E143)</f>
        <v/>
      </c>
      <c r="S143">
        <f>IF(R143=0,0,(R143-Q143)/R143)</f>
        <v/>
      </c>
      <c r="T143" t="n">
        <v>60</v>
      </c>
      <c r="U143" t="inlineStr">
        <is>
          <t>LAUNCH_INVENTORY</t>
        </is>
      </c>
    </row>
    <row r="144">
      <c r="A144" t="inlineStr">
        <is>
          <t>A6252</t>
        </is>
      </c>
      <c r="B144" t="inlineStr">
        <is>
          <t>S01</t>
        </is>
      </c>
      <c r="C144" t="inlineStr">
        <is>
          <t>SPECIALTY ABSORPTIVE DRESSING, WOUND COVER, STERILE, PAD SIZE MORE THAN 16 SQ. IN. BUT LESS THAN OR EQUAL TO 48 SQ. IN., WITHOUT ADHESIVE BORDER, EACH DRESSING</t>
        </is>
      </c>
      <c r="D144" t="n">
        <v>3</v>
      </c>
      <c r="E144" t="n">
        <v>4.55</v>
      </c>
      <c r="O144">
        <f>IF(P144=H144,IF(ISBLANK(G144),"",F144&amp;" - "&amp;G144),IF(P144=K144,IF(ISBLANK(J144),"",I144&amp;" - "&amp;J144),IF(ISBLANK(M144),"",L144&amp;" - "&amp;M144)))</f>
        <v/>
      </c>
      <c r="P144">
        <f>MIN(H144,K144,N144)</f>
        <v/>
      </c>
      <c r="Q144">
        <f>D144*P144</f>
        <v/>
      </c>
      <c r="R144">
        <f>IF(ISBLANK(E144),0,D144*E144)</f>
        <v/>
      </c>
      <c r="S144">
        <f>IF(R144=0,0,(R144-Q144)/R144)</f>
        <v/>
      </c>
      <c r="T144" t="n">
        <v>60</v>
      </c>
      <c r="U144" t="inlineStr">
        <is>
          <t>LAUNCH_INVENTORY</t>
        </is>
      </c>
    </row>
    <row r="145">
      <c r="A145" t="inlineStr">
        <is>
          <t>A6251</t>
        </is>
      </c>
      <c r="B145" t="inlineStr">
        <is>
          <t>S01</t>
        </is>
      </c>
      <c r="C145" t="inlineStr">
        <is>
          <t>SPECIALTY ABSORPTIVE DRESSING, WOUND COVER, STERILE, PAD SIZE 16 SQ. IN. OR LESS, WITHOUT ADHESIVE BORDER, EACH DRESSING</t>
        </is>
      </c>
      <c r="D145" t="n">
        <v>3</v>
      </c>
      <c r="E145" t="n">
        <v>2.78</v>
      </c>
      <c r="O145">
        <f>IF(P145=H145,IF(ISBLANK(G145),"",F145&amp;" - "&amp;G145),IF(P145=K145,IF(ISBLANK(J145),"",I145&amp;" - "&amp;J145),IF(ISBLANK(M145),"",L145&amp;" - "&amp;M145)))</f>
        <v/>
      </c>
      <c r="P145">
        <f>MIN(H145,K145,N145)</f>
        <v/>
      </c>
      <c r="Q145">
        <f>D145*P145</f>
        <v/>
      </c>
      <c r="R145">
        <f>IF(ISBLANK(E145),0,D145*E145)</f>
        <v/>
      </c>
      <c r="S145">
        <f>IF(R145=0,0,(R145-Q145)/R145)</f>
        <v/>
      </c>
      <c r="T145" t="n">
        <v>60</v>
      </c>
      <c r="U145" t="inlineStr">
        <is>
          <t>LAUNCH_INVENTORY</t>
        </is>
      </c>
    </row>
    <row r="146">
      <c r="A146" t="inlineStr">
        <is>
          <t>A6248</t>
        </is>
      </c>
      <c r="B146" t="inlineStr">
        <is>
          <t>S01</t>
        </is>
      </c>
      <c r="C146" t="inlineStr">
        <is>
          <t>HYDROGEL DRESSING, WOUND FILLER, GEL, PER FLUID OUNCE</t>
        </is>
      </c>
      <c r="D146" t="n">
        <v>3</v>
      </c>
      <c r="E146" t="n">
        <v>22.7</v>
      </c>
      <c r="O146">
        <f>IF(P146=H146,IF(ISBLANK(G146),"",F146&amp;" - "&amp;G146),IF(P146=K146,IF(ISBLANK(J146),"",I146&amp;" - "&amp;J146),IF(ISBLANK(M146),"",L146&amp;" - "&amp;M146)))</f>
        <v/>
      </c>
      <c r="P146">
        <f>MIN(H146,K146,N146)</f>
        <v/>
      </c>
      <c r="Q146">
        <f>D146*P146</f>
        <v/>
      </c>
      <c r="R146">
        <f>IF(ISBLANK(E146),0,D146*E146)</f>
        <v/>
      </c>
      <c r="S146">
        <f>IF(R146=0,0,(R146-Q146)/R146)</f>
        <v/>
      </c>
      <c r="T146" t="n">
        <v>60</v>
      </c>
      <c r="U146" t="inlineStr">
        <is>
          <t>LAUNCH_INVENTORY</t>
        </is>
      </c>
    </row>
    <row r="147">
      <c r="A147" t="inlineStr">
        <is>
          <t>A6234</t>
        </is>
      </c>
      <c r="B147" t="inlineStr">
        <is>
          <t>S01</t>
        </is>
      </c>
      <c r="C147" t="inlineStr">
        <is>
          <t>HYDROCOLLOID DRESSING, WOUND COVER, STERILE, PAD SIZE 16 SQ. IN. OR LESS, WITHOUT ADHESIVE BORDER, EACH DRESSING</t>
        </is>
      </c>
      <c r="D147" t="n">
        <v>3</v>
      </c>
      <c r="E147" t="n">
        <v>9.15</v>
      </c>
      <c r="O147">
        <f>IF(P147=H147,IF(ISBLANK(G147),"",F147&amp;" - "&amp;G147),IF(P147=K147,IF(ISBLANK(J147),"",I147&amp;" - "&amp;J147),IF(ISBLANK(M147),"",L147&amp;" - "&amp;M147)))</f>
        <v/>
      </c>
      <c r="P147">
        <f>MIN(H147,K147,N147)</f>
        <v/>
      </c>
      <c r="Q147">
        <f>D147*P147</f>
        <v/>
      </c>
      <c r="R147">
        <f>IF(ISBLANK(E147),0,D147*E147)</f>
        <v/>
      </c>
      <c r="S147">
        <f>IF(R147=0,0,(R147-Q147)/R147)</f>
        <v/>
      </c>
      <c r="T147" t="n">
        <v>60</v>
      </c>
      <c r="U147" t="inlineStr">
        <is>
          <t>LAUNCH_INVENTORY</t>
        </is>
      </c>
    </row>
    <row r="148">
      <c r="A148" t="inlineStr">
        <is>
          <t>A6233</t>
        </is>
      </c>
      <c r="B148" t="inlineStr">
        <is>
          <t>S01</t>
        </is>
      </c>
      <c r="C148" t="inlineStr">
        <is>
          <t>GAUZE, IMPREGNATED, HYDROGEL, FOR DIRECT WOUND CONTACT, STERILE, PAD SIZE MORE THAN 48 SQ. IN., EACH DRESSING</t>
        </is>
      </c>
      <c r="D148" t="n">
        <v>3</v>
      </c>
      <c r="E148" t="n">
        <v>26.79</v>
      </c>
      <c r="O148">
        <f>IF(P148=H148,IF(ISBLANK(G148),"",F148&amp;" - "&amp;G148),IF(P148=K148,IF(ISBLANK(J148),"",I148&amp;" - "&amp;J148),IF(ISBLANK(M148),"",L148&amp;" - "&amp;M148)))</f>
        <v/>
      </c>
      <c r="P148">
        <f>MIN(H148,K148,N148)</f>
        <v/>
      </c>
      <c r="Q148">
        <f>D148*P148</f>
        <v/>
      </c>
      <c r="R148">
        <f>IF(ISBLANK(E148),0,D148*E148)</f>
        <v/>
      </c>
      <c r="S148">
        <f>IF(R148=0,0,(R148-Q148)/R148)</f>
        <v/>
      </c>
      <c r="T148" t="n">
        <v>60</v>
      </c>
      <c r="U148" t="inlineStr">
        <is>
          <t>LAUNCH_INVENTORY</t>
        </is>
      </c>
    </row>
    <row r="149">
      <c r="A149" t="inlineStr">
        <is>
          <t>A6232</t>
        </is>
      </c>
      <c r="B149" t="inlineStr">
        <is>
          <t>S01</t>
        </is>
      </c>
      <c r="C149" t="inlineStr">
        <is>
          <t>GAUZE, IMPREGNATED, HYDROGEL, FOR DIRECT WOUND CONTACT, STERILE, PAD SIZE GREATER THAN 16 SQ. IN., BUT LESS THAN OR EQUAL TO 48 SQ. IN., EACH DRESSING</t>
        </is>
      </c>
      <c r="D149" t="n">
        <v>3</v>
      </c>
      <c r="E149" t="n">
        <v>9.59</v>
      </c>
      <c r="O149">
        <f>IF(P149=H149,IF(ISBLANK(G149),"",F149&amp;" - "&amp;G149),IF(P149=K149,IF(ISBLANK(J149),"",I149&amp;" - "&amp;J149),IF(ISBLANK(M149),"",L149&amp;" - "&amp;M149)))</f>
        <v/>
      </c>
      <c r="P149">
        <f>MIN(H149,K149,N149)</f>
        <v/>
      </c>
      <c r="Q149">
        <f>D149*P149</f>
        <v/>
      </c>
      <c r="R149">
        <f>IF(ISBLANK(E149),0,D149*E149)</f>
        <v/>
      </c>
      <c r="S149">
        <f>IF(R149=0,0,(R149-Q149)/R149)</f>
        <v/>
      </c>
      <c r="T149" t="n">
        <v>60</v>
      </c>
      <c r="U149" t="inlineStr">
        <is>
          <t>LAUNCH_INVENTORY</t>
        </is>
      </c>
    </row>
    <row r="150">
      <c r="A150" t="inlineStr">
        <is>
          <t>A6246</t>
        </is>
      </c>
      <c r="B150" t="inlineStr">
        <is>
          <t>S01</t>
        </is>
      </c>
      <c r="C150" t="inlineStr">
        <is>
          <t>HYDROGEL DRESSING, WOUND COVER, STERILE, PAD SIZE MORE THAN 16 SQ. IN. BUT LESS THAN OR EQUAL TO 48 SQ. IN., WITH ANY SIZE ADHESIVE BORDER, EACH DRESSING</t>
        </is>
      </c>
      <c r="D150" t="n">
        <v>3</v>
      </c>
      <c r="E150" t="n">
        <v>13.88</v>
      </c>
      <c r="O150">
        <f>IF(P150=H150,IF(ISBLANK(G150),"",F150&amp;" - "&amp;G150),IF(P150=K150,IF(ISBLANK(J150),"",I150&amp;" - "&amp;J150),IF(ISBLANK(M150),"",L150&amp;" - "&amp;M150)))</f>
        <v/>
      </c>
      <c r="P150">
        <f>MIN(H150,K150,N150)</f>
        <v/>
      </c>
      <c r="Q150">
        <f>D150*P150</f>
        <v/>
      </c>
      <c r="R150">
        <f>IF(ISBLANK(E150),0,D150*E150)</f>
        <v/>
      </c>
      <c r="S150">
        <f>IF(R150=0,0,(R150-Q150)/R150)</f>
        <v/>
      </c>
      <c r="T150" t="n">
        <v>60</v>
      </c>
      <c r="U150" t="inlineStr">
        <is>
          <t>LAUNCH_INVENTORY</t>
        </is>
      </c>
    </row>
    <row r="151">
      <c r="A151" t="inlineStr">
        <is>
          <t>A6595</t>
        </is>
      </c>
      <c r="B151" t="inlineStr">
        <is>
          <t>S04</t>
        </is>
      </c>
      <c r="C151" t="inlineStr">
        <is>
          <t>GRADIENT COMPRESSION BANDAGING SUPPLY, BANDAGE LINER, UPPER EXTREMITY, ANY SIZE OR LENGTH, EACH</t>
        </is>
      </c>
      <c r="D151" t="n">
        <v>3</v>
      </c>
      <c r="E151" t="n">
        <v>33.57</v>
      </c>
      <c r="O151">
        <f>IF(P151=H151,IF(ISBLANK(G151),"",F151&amp;" - "&amp;G151),IF(P151=K151,IF(ISBLANK(J151),"",I151&amp;" - "&amp;J151),IF(ISBLANK(M151),"",L151&amp;" - "&amp;M151)))</f>
        <v/>
      </c>
      <c r="P151">
        <f>MIN(H151,K151,N151)</f>
        <v/>
      </c>
      <c r="Q151">
        <f>D151*P151</f>
        <v/>
      </c>
      <c r="R151">
        <f>IF(ISBLANK(E151),0,D151*E151)</f>
        <v/>
      </c>
      <c r="S151">
        <f>IF(R151=0,0,(R151-Q151)/R151)</f>
        <v/>
      </c>
      <c r="T151" t="n">
        <v>60</v>
      </c>
      <c r="U151" t="inlineStr">
        <is>
          <t>LAUNCH_INVENTORY</t>
        </is>
      </c>
    </row>
    <row r="152">
      <c r="A152" t="inlineStr">
        <is>
          <t>A6556</t>
        </is>
      </c>
      <c r="B152" t="inlineStr">
        <is>
          <t>S04</t>
        </is>
      </c>
      <c r="C152" t="inlineStr">
        <is>
          <t>GRADIENT COMPRESSION STOCKING, THIGH LENGTH, 18-30 MMHG, CUSTOM, EACH</t>
        </is>
      </c>
      <c r="D152" t="n">
        <v>3</v>
      </c>
      <c r="E152" t="n">
        <v>302.09</v>
      </c>
      <c r="O152">
        <f>IF(P152=H152,IF(ISBLANK(G152),"",F152&amp;" - "&amp;G152),IF(P152=K152,IF(ISBLANK(J152),"",I152&amp;" - "&amp;J152),IF(ISBLANK(M152),"",L152&amp;" - "&amp;M152)))</f>
        <v/>
      </c>
      <c r="P152">
        <f>MIN(H152,K152,N152)</f>
        <v/>
      </c>
      <c r="Q152">
        <f>D152*P152</f>
        <v/>
      </c>
      <c r="R152">
        <f>IF(ISBLANK(E152),0,D152*E152)</f>
        <v/>
      </c>
      <c r="S152">
        <f>IF(R152=0,0,(R152-Q152)/R152)</f>
        <v/>
      </c>
      <c r="T152" t="n">
        <v>60</v>
      </c>
      <c r="U152" t="inlineStr">
        <is>
          <t>LAUNCH_INVENTORY</t>
        </is>
      </c>
    </row>
    <row r="153">
      <c r="A153" t="inlineStr">
        <is>
          <t>A6555</t>
        </is>
      </c>
      <c r="B153" t="inlineStr">
        <is>
          <t>S04</t>
        </is>
      </c>
      <c r="C153" t="inlineStr">
        <is>
          <t>GRADIENT COMPRESSION STOCKING, BELOW KNEE, 40 MMHG OR GREATER, CUSTOM, EACH</t>
        </is>
      </c>
      <c r="D153" t="n">
        <v>3</v>
      </c>
      <c r="E153" t="n">
        <v>220.43</v>
      </c>
      <c r="O153">
        <f>IF(P153=H153,IF(ISBLANK(G153),"",F153&amp;" - "&amp;G153),IF(P153=K153,IF(ISBLANK(J153),"",I153&amp;" - "&amp;J153),IF(ISBLANK(M153),"",L153&amp;" - "&amp;M153)))</f>
        <v/>
      </c>
      <c r="P153">
        <f>MIN(H153,K153,N153)</f>
        <v/>
      </c>
      <c r="Q153">
        <f>D153*P153</f>
        <v/>
      </c>
      <c r="R153">
        <f>IF(ISBLANK(E153),0,D153*E153)</f>
        <v/>
      </c>
      <c r="S153">
        <f>IF(R153=0,0,(R153-Q153)/R153)</f>
        <v/>
      </c>
      <c r="T153" t="n">
        <v>60</v>
      </c>
      <c r="U153" t="inlineStr">
        <is>
          <t>LAUNCH_INVENTORY</t>
        </is>
      </c>
    </row>
    <row r="154">
      <c r="A154" t="inlineStr">
        <is>
          <t>A6554</t>
        </is>
      </c>
      <c r="B154" t="inlineStr">
        <is>
          <t>S04</t>
        </is>
      </c>
      <c r="C154" t="inlineStr">
        <is>
          <t>GRADIENT COMPRESSION STOCKING, BELOW KNEE, 40 MMHG OR GREATER, EACH</t>
        </is>
      </c>
      <c r="D154" t="n">
        <v>3</v>
      </c>
      <c r="E154" t="n">
        <v>77.62</v>
      </c>
      <c r="O154">
        <f>IF(P154=H154,IF(ISBLANK(G154),"",F154&amp;" - "&amp;G154),IF(P154=K154,IF(ISBLANK(J154),"",I154&amp;" - "&amp;J154),IF(ISBLANK(M154),"",L154&amp;" - "&amp;M154)))</f>
        <v/>
      </c>
      <c r="P154">
        <f>MIN(H154,K154,N154)</f>
        <v/>
      </c>
      <c r="Q154">
        <f>D154*P154</f>
        <v/>
      </c>
      <c r="R154">
        <f>IF(ISBLANK(E154),0,D154*E154)</f>
        <v/>
      </c>
      <c r="S154">
        <f>IF(R154=0,0,(R154-Q154)/R154)</f>
        <v/>
      </c>
      <c r="T154" t="n">
        <v>60</v>
      </c>
      <c r="U154" t="inlineStr">
        <is>
          <t>LAUNCH_INVENTORY</t>
        </is>
      </c>
    </row>
    <row r="155">
      <c r="A155" t="inlineStr">
        <is>
          <t>A6606</t>
        </is>
      </c>
      <c r="B155" t="inlineStr">
        <is>
          <t>S04</t>
        </is>
      </c>
      <c r="C155" t="inlineStr">
        <is>
          <t>GRADIENT COMPRESSION BANDAGING SUPPLY, PADDED TEXTILE, PER LINEAR YARD, ANY WIDTH, EACH</t>
        </is>
      </c>
      <c r="D155" t="n">
        <v>3</v>
      </c>
      <c r="E155" t="n">
        <v>4.55</v>
      </c>
      <c r="O155">
        <f>IF(P155=H155,IF(ISBLANK(G155),"",F155&amp;" - "&amp;G155),IF(P155=K155,IF(ISBLANK(J155),"",I155&amp;" - "&amp;J155),IF(ISBLANK(M155),"",L155&amp;" - "&amp;M155)))</f>
        <v/>
      </c>
      <c r="P155">
        <f>MIN(H155,K155,N155)</f>
        <v/>
      </c>
      <c r="Q155">
        <f>D155*P155</f>
        <v/>
      </c>
      <c r="R155">
        <f>IF(ISBLANK(E155),0,D155*E155)</f>
        <v/>
      </c>
      <c r="S155">
        <f>IF(R155=0,0,(R155-Q155)/R155)</f>
        <v/>
      </c>
      <c r="T155" t="n">
        <v>60</v>
      </c>
      <c r="U155" t="inlineStr">
        <is>
          <t>LAUNCH_INVENTORY</t>
        </is>
      </c>
    </row>
    <row r="156">
      <c r="A156" t="inlineStr">
        <is>
          <t>A6610</t>
        </is>
      </c>
      <c r="B156" t="inlineStr">
        <is>
          <t>S04</t>
        </is>
      </c>
      <c r="C156" t="inlineStr">
        <is>
          <t>GRADIENT COMPRESSION STOCKING, BELOW KNEE, 18-30 MMHG, CUSTOM, EACH</t>
        </is>
      </c>
      <c r="D156" t="n">
        <v>3</v>
      </c>
      <c r="E156" t="n">
        <v>220.43</v>
      </c>
      <c r="O156">
        <f>IF(P156=H156,IF(ISBLANK(G156),"",F156&amp;" - "&amp;G156),IF(P156=K156,IF(ISBLANK(J156),"",I156&amp;" - "&amp;J156),IF(ISBLANK(M156),"",L156&amp;" - "&amp;M156)))</f>
        <v/>
      </c>
      <c r="P156">
        <f>MIN(H156,K156,N156)</f>
        <v/>
      </c>
      <c r="Q156">
        <f>D156*P156</f>
        <v/>
      </c>
      <c r="R156">
        <f>IF(ISBLANK(E156),0,D156*E156)</f>
        <v/>
      </c>
      <c r="S156">
        <f>IF(R156=0,0,(R156-Q156)/R156)</f>
        <v/>
      </c>
      <c r="T156" t="n">
        <v>60</v>
      </c>
      <c r="U156" t="inlineStr">
        <is>
          <t>LAUNCH_INVENTORY</t>
        </is>
      </c>
    </row>
    <row r="157">
      <c r="A157" t="inlineStr">
        <is>
          <t>A6607</t>
        </is>
      </c>
      <c r="B157" t="inlineStr">
        <is>
          <t>S04</t>
        </is>
      </c>
      <c r="C157" t="inlineStr">
        <is>
          <t>GRADIENT COMPRESSION BANDAGING SUPPLY, TUBULAR PROTECTIVE ABSORPTION LAYER, PER LINEAR YARD, ANY WIDTH, EACH</t>
        </is>
      </c>
      <c r="D157" t="n">
        <v>3</v>
      </c>
      <c r="E157" t="n">
        <v>1.22</v>
      </c>
      <c r="O157">
        <f>IF(P157=H157,IF(ISBLANK(G157),"",F157&amp;" - "&amp;G157),IF(P157=K157,IF(ISBLANK(J157),"",I157&amp;" - "&amp;J157),IF(ISBLANK(M157),"",L157&amp;" - "&amp;M157)))</f>
        <v/>
      </c>
      <c r="P157">
        <f>MIN(H157,K157,N157)</f>
        <v/>
      </c>
      <c r="Q157">
        <f>D157*P157</f>
        <v/>
      </c>
      <c r="R157">
        <f>IF(ISBLANK(E157),0,D157*E157)</f>
        <v/>
      </c>
      <c r="S157">
        <f>IF(R157=0,0,(R157-Q157)/R157)</f>
        <v/>
      </c>
      <c r="T157" t="n">
        <v>60</v>
      </c>
      <c r="U157" t="inlineStr">
        <is>
          <t>LAUNCH_INVENTORY</t>
        </is>
      </c>
    </row>
    <row r="158">
      <c r="A158" t="inlineStr">
        <is>
          <t>A6608</t>
        </is>
      </c>
      <c r="B158" t="inlineStr">
        <is>
          <t>S04</t>
        </is>
      </c>
      <c r="C158" t="inlineStr">
        <is>
          <t>GRADIENT COMPRESSION BANDAGING SUPPLY, TUBULAR PROTECTIVE ABSORPTION PADDED LAYER, PER LINEAR YARD, ANY WIDTH, EACH</t>
        </is>
      </c>
      <c r="D158" t="n">
        <v>3</v>
      </c>
      <c r="E158" t="n">
        <v>5.07</v>
      </c>
      <c r="O158">
        <f>IF(P158=H158,IF(ISBLANK(G158),"",F158&amp;" - "&amp;G158),IF(P158=K158,IF(ISBLANK(J158),"",I158&amp;" - "&amp;J158),IF(ISBLANK(M158),"",L158&amp;" - "&amp;M158)))</f>
        <v/>
      </c>
      <c r="P158">
        <f>MIN(H158,K158,N158)</f>
        <v/>
      </c>
      <c r="Q158">
        <f>D158*P158</f>
        <v/>
      </c>
      <c r="R158">
        <f>IF(ISBLANK(E158),0,D158*E158)</f>
        <v/>
      </c>
      <c r="S158">
        <f>IF(R158=0,0,(R158-Q158)/R158)</f>
        <v/>
      </c>
      <c r="T158" t="n">
        <v>60</v>
      </c>
      <c r="U158" t="inlineStr">
        <is>
          <t>LAUNCH_INVENTORY</t>
        </is>
      </c>
    </row>
    <row r="159">
      <c r="A159" t="inlineStr">
        <is>
          <t>A6600</t>
        </is>
      </c>
      <c r="B159" t="inlineStr">
        <is>
          <t>S04</t>
        </is>
      </c>
      <c r="C159" t="inlineStr">
        <is>
          <t>GRADIENT COMPRESSION BANDAGING SUPPLY, HIGH DENSITY FOAM SHEET, PER 250 SQUARE CENTIMETERS, EACH</t>
        </is>
      </c>
      <c r="D159" t="n">
        <v>3</v>
      </c>
      <c r="E159" t="n">
        <v>2.99</v>
      </c>
      <c r="O159">
        <f>IF(P159=H159,IF(ISBLANK(G159),"",F159&amp;" - "&amp;G159),IF(P159=K159,IF(ISBLANK(J159),"",I159&amp;" - "&amp;J159),IF(ISBLANK(M159),"",L159&amp;" - "&amp;M159)))</f>
        <v/>
      </c>
      <c r="P159">
        <f>MIN(H159,K159,N159)</f>
        <v/>
      </c>
      <c r="Q159">
        <f>D159*P159</f>
        <v/>
      </c>
      <c r="R159">
        <f>IF(ISBLANK(E159),0,D159*E159)</f>
        <v/>
      </c>
      <c r="S159">
        <f>IF(R159=0,0,(R159-Q159)/R159)</f>
        <v/>
      </c>
      <c r="T159" t="n">
        <v>60</v>
      </c>
      <c r="U159" t="inlineStr">
        <is>
          <t>LAUNCH_INVENTORY</t>
        </is>
      </c>
    </row>
    <row r="160">
      <c r="A160" t="inlineStr">
        <is>
          <t>A6599</t>
        </is>
      </c>
      <c r="B160" t="inlineStr">
        <is>
          <t>S04</t>
        </is>
      </c>
      <c r="C160" t="inlineStr">
        <is>
          <t>GRADIENT COMPRESSION BANDAGE ROLL, INELASTIC SHORT STRETCH, PER LINEAR YARD, ANY WIDTH, EACH</t>
        </is>
      </c>
      <c r="D160" t="n">
        <v>3</v>
      </c>
      <c r="E160" t="n">
        <v>1.66</v>
      </c>
      <c r="O160">
        <f>IF(P160=H160,IF(ISBLANK(G160),"",F160&amp;" - "&amp;G160),IF(P160=K160,IF(ISBLANK(J160),"",I160&amp;" - "&amp;J160),IF(ISBLANK(M160),"",L160&amp;" - "&amp;M160)))</f>
        <v/>
      </c>
      <c r="P160">
        <f>MIN(H160,K160,N160)</f>
        <v/>
      </c>
      <c r="Q160">
        <f>D160*P160</f>
        <v/>
      </c>
      <c r="R160">
        <f>IF(ISBLANK(E160),0,D160*E160)</f>
        <v/>
      </c>
      <c r="S160">
        <f>IF(R160=0,0,(R160-Q160)/R160)</f>
        <v/>
      </c>
      <c r="T160" t="n">
        <v>60</v>
      </c>
      <c r="U160" t="inlineStr">
        <is>
          <t>LAUNCH_INVENTORY</t>
        </is>
      </c>
    </row>
    <row r="161">
      <c r="A161" t="inlineStr">
        <is>
          <t>A6598</t>
        </is>
      </c>
      <c r="B161" t="inlineStr">
        <is>
          <t>S04</t>
        </is>
      </c>
      <c r="C161" t="inlineStr">
        <is>
          <t>GRADIENT COMPRESSION BANDAGE ROLL, ELASTIC MEDIUM STRETCH, PER LINEAR YARD, ANY WIDTH, EACH</t>
        </is>
      </c>
      <c r="D161" t="n">
        <v>3</v>
      </c>
      <c r="E161" t="n">
        <v>0.73</v>
      </c>
      <c r="O161">
        <f>IF(P161=H161,IF(ISBLANK(G161),"",F161&amp;" - "&amp;G161),IF(P161=K161,IF(ISBLANK(J161),"",I161&amp;" - "&amp;J161),IF(ISBLANK(M161),"",L161&amp;" - "&amp;M161)))</f>
        <v/>
      </c>
      <c r="P161">
        <f>MIN(H161,K161,N161)</f>
        <v/>
      </c>
      <c r="Q161">
        <f>D161*P161</f>
        <v/>
      </c>
      <c r="R161">
        <f>IF(ISBLANK(E161),0,D161*E161)</f>
        <v/>
      </c>
      <c r="S161">
        <f>IF(R161=0,0,(R161-Q161)/R161)</f>
        <v/>
      </c>
      <c r="T161" t="n">
        <v>60</v>
      </c>
      <c r="U161" t="inlineStr">
        <is>
          <t>LAUNCH_INVENTORY</t>
        </is>
      </c>
    </row>
    <row r="162">
      <c r="A162" t="inlineStr">
        <is>
          <t>A6594</t>
        </is>
      </c>
      <c r="B162" t="inlineStr">
        <is>
          <t>S04</t>
        </is>
      </c>
      <c r="C162" t="inlineStr">
        <is>
          <t>GRADIENT COMPRESSION BANDAGING SUPPLY, BANDAGE LINER, LOWER EXTREMITY, ANY SIZE OR LENGTH, EACH</t>
        </is>
      </c>
      <c r="D162" t="n">
        <v>3</v>
      </c>
      <c r="E162" t="n">
        <v>34.13</v>
      </c>
      <c r="O162">
        <f>IF(P162=H162,IF(ISBLANK(G162),"",F162&amp;" - "&amp;G162),IF(P162=K162,IF(ISBLANK(J162),"",I162&amp;" - "&amp;J162),IF(ISBLANK(M162),"",L162&amp;" - "&amp;M162)))</f>
        <v/>
      </c>
      <c r="P162">
        <f>MIN(H162,K162,N162)</f>
        <v/>
      </c>
      <c r="Q162">
        <f>D162*P162</f>
        <v/>
      </c>
      <c r="R162">
        <f>IF(ISBLANK(E162),0,D162*E162)</f>
        <v/>
      </c>
      <c r="S162">
        <f>IF(R162=0,0,(R162-Q162)/R162)</f>
        <v/>
      </c>
      <c r="T162" t="n">
        <v>60</v>
      </c>
      <c r="U162" t="inlineStr">
        <is>
          <t>LAUNCH_INVENTORY</t>
        </is>
      </c>
    </row>
    <row r="163">
      <c r="A163" t="inlineStr">
        <is>
          <t>A6214</t>
        </is>
      </c>
      <c r="B163" t="inlineStr">
        <is>
          <t>S01</t>
        </is>
      </c>
      <c r="C163" t="inlineStr">
        <is>
          <t>FOAM DRESSING, WOUND COVER, STERILE, PAD SIZE MORE THAN 48 SQ. IN., WITH ANY SIZE ADHESIVE BORDER, EACH DRESSING</t>
        </is>
      </c>
      <c r="D163" t="n">
        <v>3</v>
      </c>
      <c r="E163" t="n">
        <v>14.39</v>
      </c>
      <c r="O163">
        <f>IF(P163=H163,IF(ISBLANK(G163),"",F163&amp;" - "&amp;G163),IF(P163=K163,IF(ISBLANK(J163),"",I163&amp;" - "&amp;J163),IF(ISBLANK(M163),"",L163&amp;" - "&amp;M163)))</f>
        <v/>
      </c>
      <c r="P163">
        <f>MIN(H163,K163,N163)</f>
        <v/>
      </c>
      <c r="Q163">
        <f>D163*P163</f>
        <v/>
      </c>
      <c r="R163">
        <f>IF(ISBLANK(E163),0,D163*E163)</f>
        <v/>
      </c>
      <c r="S163">
        <f>IF(R163=0,0,(R163-Q163)/R163)</f>
        <v/>
      </c>
      <c r="T163" t="n">
        <v>60</v>
      </c>
      <c r="U163" t="inlineStr">
        <is>
          <t>LAUNCH_INVENTORY</t>
        </is>
      </c>
    </row>
    <row r="164">
      <c r="A164" t="inlineStr">
        <is>
          <t>A6212</t>
        </is>
      </c>
      <c r="B164" t="inlineStr">
        <is>
          <t>S01</t>
        </is>
      </c>
      <c r="C164" t="inlineStr">
        <is>
          <t>FOAM DRESSING, WOUND COVER, STERILE, PAD SIZE 16 SQ. IN. OR LESS, WITH ANY SIZE ADHESIVE BORDER, EACH DRESSING</t>
        </is>
      </c>
      <c r="D164" t="n">
        <v>3</v>
      </c>
      <c r="E164" t="n">
        <v>13.57</v>
      </c>
      <c r="O164">
        <f>IF(P164=H164,IF(ISBLANK(G164),"",F164&amp;" - "&amp;G164),IF(P164=K164,IF(ISBLANK(J164),"",I164&amp;" - "&amp;J164),IF(ISBLANK(M164),"",L164&amp;" - "&amp;M164)))</f>
        <v/>
      </c>
      <c r="P164">
        <f>MIN(H164,K164,N164)</f>
        <v/>
      </c>
      <c r="Q164">
        <f>D164*P164</f>
        <v/>
      </c>
      <c r="R164">
        <f>IF(ISBLANK(E164),0,D164*E164)</f>
        <v/>
      </c>
      <c r="S164">
        <f>IF(R164=0,0,(R164-Q164)/R164)</f>
        <v/>
      </c>
      <c r="T164" t="n">
        <v>60</v>
      </c>
      <c r="U164" t="inlineStr">
        <is>
          <t>LAUNCH_INVENTORY</t>
        </is>
      </c>
    </row>
    <row r="165">
      <c r="A165" t="inlineStr">
        <is>
          <t>A6210</t>
        </is>
      </c>
      <c r="B165" t="inlineStr">
        <is>
          <t>S01</t>
        </is>
      </c>
      <c r="C165" t="inlineStr">
        <is>
          <t>FOAM DRESSING, WOUND COVER, STERILE, PAD SIZE MORE THAN 16 SQ. IN. BUT LESS THAN OR EQUAL TO 48 SQ. IN., WITHOUT ADHESIVE BORDER, EACH DRESSING</t>
        </is>
      </c>
      <c r="D165" t="n">
        <v>3</v>
      </c>
      <c r="E165" t="n">
        <v>27.84</v>
      </c>
      <c r="O165">
        <f>IF(P165=H165,IF(ISBLANK(G165),"",F165&amp;" - "&amp;G165),IF(P165=K165,IF(ISBLANK(J165),"",I165&amp;" - "&amp;J165),IF(ISBLANK(M165),"",L165&amp;" - "&amp;M165)))</f>
        <v/>
      </c>
      <c r="P165">
        <f>MIN(H165,K165,N165)</f>
        <v/>
      </c>
      <c r="Q165">
        <f>D165*P165</f>
        <v/>
      </c>
      <c r="R165">
        <f>IF(ISBLANK(E165),0,D165*E165)</f>
        <v/>
      </c>
      <c r="S165">
        <f>IF(R165=0,0,(R165-Q165)/R165)</f>
        <v/>
      </c>
      <c r="T165" t="n">
        <v>60</v>
      </c>
      <c r="U165" t="inlineStr">
        <is>
          <t>LAUNCH_INVENTORY</t>
        </is>
      </c>
    </row>
    <row r="166">
      <c r="A166" t="inlineStr">
        <is>
          <t>A6209</t>
        </is>
      </c>
      <c r="B166" t="inlineStr">
        <is>
          <t>S01</t>
        </is>
      </c>
      <c r="C166" t="inlineStr">
        <is>
          <t>FOAM DRESSING, WOUND COVER, STERILE, PAD SIZE 16 SQ. IN. OR LESS, WITHOUT ADHESIVE BORDER, EACH DRESSING</t>
        </is>
      </c>
      <c r="D166" t="n">
        <v>3</v>
      </c>
      <c r="E166" t="n">
        <v>10.44</v>
      </c>
      <c r="O166">
        <f>IF(P166=H166,IF(ISBLANK(G166),"",F166&amp;" - "&amp;G166),IF(P166=K166,IF(ISBLANK(J166),"",I166&amp;" - "&amp;J166),IF(ISBLANK(M166),"",L166&amp;" - "&amp;M166)))</f>
        <v/>
      </c>
      <c r="P166">
        <f>MIN(H166,K166,N166)</f>
        <v/>
      </c>
      <c r="Q166">
        <f>D166*P166</f>
        <v/>
      </c>
      <c r="R166">
        <f>IF(ISBLANK(E166),0,D166*E166)</f>
        <v/>
      </c>
      <c r="S166">
        <f>IF(R166=0,0,(R166-Q166)/R166)</f>
        <v/>
      </c>
      <c r="T166" t="n">
        <v>60</v>
      </c>
      <c r="U166" t="inlineStr">
        <is>
          <t>LAUNCH_INVENTORY</t>
        </is>
      </c>
    </row>
    <row r="167">
      <c r="A167" t="inlineStr">
        <is>
          <t>A6207</t>
        </is>
      </c>
      <c r="B167" t="inlineStr">
        <is>
          <t>S01</t>
        </is>
      </c>
      <c r="C167" t="inlineStr">
        <is>
          <t>CONTACT LAYER, STERILE, MORE THAN 16 SQ. IN. BUT LESS THAN OR EQUAL TO 48 SQ. IN., EACH DRESSING</t>
        </is>
      </c>
      <c r="D167" t="n">
        <v>3</v>
      </c>
      <c r="E167" t="n">
        <v>10.26</v>
      </c>
      <c r="O167">
        <f>IF(P167=H167,IF(ISBLANK(G167),"",F167&amp;" - "&amp;G167),IF(P167=K167,IF(ISBLANK(J167),"",I167&amp;" - "&amp;J167),IF(ISBLANK(M167),"",L167&amp;" - "&amp;M167)))</f>
        <v/>
      </c>
      <c r="P167">
        <f>MIN(H167,K167,N167)</f>
        <v/>
      </c>
      <c r="Q167">
        <f>D167*P167</f>
        <v/>
      </c>
      <c r="R167">
        <f>IF(ISBLANK(E167),0,D167*E167)</f>
        <v/>
      </c>
      <c r="S167">
        <f>IF(R167=0,0,(R167-Q167)/R167)</f>
        <v/>
      </c>
      <c r="T167" t="n">
        <v>60</v>
      </c>
      <c r="U167" t="inlineStr">
        <is>
          <t>LAUNCH_INVENTORY</t>
        </is>
      </c>
    </row>
    <row r="168">
      <c r="A168" t="inlineStr">
        <is>
          <t>A6204</t>
        </is>
      </c>
      <c r="B168" t="inlineStr">
        <is>
          <t>S01</t>
        </is>
      </c>
      <c r="C168" t="inlineStr">
        <is>
          <t>COMPOSITE DRESSING, STERILE, PAD SIZE MORE THAN 16 SQ. IN. BUT LESS THAN OR EQUAL TO 48 SQ. IN., WITH ANY SIZE ADHESIVE BORDER, EACH DRESSING</t>
        </is>
      </c>
      <c r="D168" t="n">
        <v>3</v>
      </c>
      <c r="E168" t="n">
        <v>8.69</v>
      </c>
      <c r="O168">
        <f>IF(P168=H168,IF(ISBLANK(G168),"",F168&amp;" - "&amp;G168),IF(P168=K168,IF(ISBLANK(J168),"",I168&amp;" - "&amp;J168),IF(ISBLANK(M168),"",L168&amp;" - "&amp;M168)))</f>
        <v/>
      </c>
      <c r="P168">
        <f>MIN(H168,K168,N168)</f>
        <v/>
      </c>
      <c r="Q168">
        <f>D168*P168</f>
        <v/>
      </c>
      <c r="R168">
        <f>IF(ISBLANK(E168),0,D168*E168)</f>
        <v/>
      </c>
      <c r="S168">
        <f>IF(R168=0,0,(R168-Q168)/R168)</f>
        <v/>
      </c>
      <c r="T168" t="n">
        <v>60</v>
      </c>
      <c r="U168" t="inlineStr">
        <is>
          <t>LAUNCH_INVENTORY</t>
        </is>
      </c>
    </row>
    <row r="169">
      <c r="A169" t="inlineStr">
        <is>
          <t>A6219</t>
        </is>
      </c>
      <c r="B169" t="inlineStr">
        <is>
          <t>S01</t>
        </is>
      </c>
      <c r="C169" t="inlineStr">
        <is>
          <t>GAUZE, NON-IMPREGNATED, STERILE, PAD SIZE 16 SQ. IN. OR LESS, WITH ANY SIZE ADHESIVE BORDER, EACH DRESSING</t>
        </is>
      </c>
      <c r="D169" t="n">
        <v>3</v>
      </c>
      <c r="E169" t="n">
        <v>1.33</v>
      </c>
      <c r="O169">
        <f>IF(P169=H169,IF(ISBLANK(G169),"",F169&amp;" - "&amp;G169),IF(P169=K169,IF(ISBLANK(J169),"",I169&amp;" - "&amp;J169),IF(ISBLANK(M169),"",L169&amp;" - "&amp;M169)))</f>
        <v/>
      </c>
      <c r="P169">
        <f>MIN(H169,K169,N169)</f>
        <v/>
      </c>
      <c r="Q169">
        <f>D169*P169</f>
        <v/>
      </c>
      <c r="R169">
        <f>IF(ISBLANK(E169),0,D169*E169)</f>
        <v/>
      </c>
      <c r="S169">
        <f>IF(R169=0,0,(R169-Q169)/R169)</f>
        <v/>
      </c>
      <c r="T169" t="n">
        <v>60</v>
      </c>
      <c r="U169" t="inlineStr">
        <is>
          <t>LAUNCH_INVENTORY</t>
        </is>
      </c>
    </row>
    <row r="170">
      <c r="A170" t="inlineStr">
        <is>
          <t>A6601</t>
        </is>
      </c>
      <c r="B170" t="inlineStr">
        <is>
          <t>S04</t>
        </is>
      </c>
      <c r="C170" t="inlineStr">
        <is>
          <t>GRADIENT COMPRESSION BANDAGING SUPPLY, HIGH DENSITY FOAM PAD, ANY SIZE OR SHAPE, EACH</t>
        </is>
      </c>
      <c r="D170" t="n">
        <v>3</v>
      </c>
      <c r="E170" t="n">
        <v>3.36</v>
      </c>
      <c r="O170">
        <f>IF(P170=H170,IF(ISBLANK(G170),"",F170&amp;" - "&amp;G170),IF(P170=K170,IF(ISBLANK(J170),"",I170&amp;" - "&amp;J170),IF(ISBLANK(M170),"",L170&amp;" - "&amp;M170)))</f>
        <v/>
      </c>
      <c r="P170">
        <f>MIN(H170,K170,N170)</f>
        <v/>
      </c>
      <c r="Q170">
        <f>D170*P170</f>
        <v/>
      </c>
      <c r="R170">
        <f>IF(ISBLANK(E170),0,D170*E170)</f>
        <v/>
      </c>
      <c r="S170">
        <f>IF(R170=0,0,(R170-Q170)/R170)</f>
        <v/>
      </c>
      <c r="T170" t="n">
        <v>60</v>
      </c>
      <c r="U170" t="inlineStr">
        <is>
          <t>LAUNCH_INVENTORY</t>
        </is>
      </c>
    </row>
    <row r="171">
      <c r="A171" t="inlineStr">
        <is>
          <t>E1226</t>
        </is>
      </c>
      <c r="B171" t="inlineStr">
        <is>
          <t>M06A</t>
        </is>
      </c>
      <c r="C171" t="inlineStr">
        <is>
          <t>WHEELCHAIR ACCESSORY, MANUAL FULLY RECLINING BACK, (RECLINE GREATER THAN 80 DEGREES), EACH</t>
        </is>
      </c>
      <c r="D171" t="n">
        <v>3</v>
      </c>
      <c r="E171" t="n">
        <v>378.26</v>
      </c>
      <c r="O171">
        <f>IF(P171=H171,IF(ISBLANK(G171),"",F171&amp;" - "&amp;G171),IF(P171=K171,IF(ISBLANK(J171),"",I171&amp;" - "&amp;J171),IF(ISBLANK(M171),"",L171&amp;" - "&amp;M171)))</f>
        <v/>
      </c>
      <c r="P171">
        <f>MIN(H171,K171,N171)</f>
        <v/>
      </c>
      <c r="Q171">
        <f>D171*P171</f>
        <v/>
      </c>
      <c r="R171">
        <f>IF(ISBLANK(E171),0,D171*E171)</f>
        <v/>
      </c>
      <c r="S171">
        <f>IF(R171=0,0,(R171-Q171)/R171)</f>
        <v/>
      </c>
      <c r="T171" t="n">
        <v>60</v>
      </c>
      <c r="U171" t="inlineStr">
        <is>
          <t>LAUNCH_INVENTORY</t>
        </is>
      </c>
    </row>
    <row r="172">
      <c r="A172" t="inlineStr">
        <is>
          <t>E1015</t>
        </is>
      </c>
      <c r="B172" t="inlineStr">
        <is>
          <t>M06A</t>
        </is>
      </c>
      <c r="C172" t="inlineStr">
        <is>
          <t>SHOCK ABSORBER FOR MANUAL WHEELCHAIR, EACH</t>
        </is>
      </c>
      <c r="D172" t="n">
        <v>3</v>
      </c>
      <c r="E172" t="n">
        <v>121.15</v>
      </c>
      <c r="O172">
        <f>IF(P172=H172,IF(ISBLANK(G172),"",F172&amp;" - "&amp;G172),IF(P172=K172,IF(ISBLANK(J172),"",I172&amp;" - "&amp;J172),IF(ISBLANK(M172),"",L172&amp;" - "&amp;M172)))</f>
        <v/>
      </c>
      <c r="P172">
        <f>MIN(H172,K172,N172)</f>
        <v/>
      </c>
      <c r="Q172">
        <f>D172*P172</f>
        <v/>
      </c>
      <c r="R172">
        <f>IF(ISBLANK(E172),0,D172*E172)</f>
        <v/>
      </c>
      <c r="S172">
        <f>IF(R172=0,0,(R172-Q172)/R172)</f>
        <v/>
      </c>
      <c r="T172" t="n">
        <v>60</v>
      </c>
      <c r="U172" t="inlineStr">
        <is>
          <t>LAUNCH_INVENTORY</t>
        </is>
      </c>
    </row>
    <row r="173">
      <c r="A173" t="inlineStr">
        <is>
          <t>E2206</t>
        </is>
      </c>
      <c r="B173" t="inlineStr">
        <is>
          <t>M06A</t>
        </is>
      </c>
      <c r="C173" t="inlineStr">
        <is>
          <t>MANUAL WHEELCHAIR ACCESSORY, WHEEL LOCK ASSEMBLY, COMPLETE, REPLACEMENT ONLY, EACH</t>
        </is>
      </c>
      <c r="D173" t="n">
        <v>3</v>
      </c>
      <c r="E173" t="n">
        <v>38.72</v>
      </c>
      <c r="O173">
        <f>IF(P173=H173,IF(ISBLANK(G173),"",F173&amp;" - "&amp;G173),IF(P173=K173,IF(ISBLANK(J173),"",I173&amp;" - "&amp;J173),IF(ISBLANK(M173),"",L173&amp;" - "&amp;M173)))</f>
        <v/>
      </c>
      <c r="P173">
        <f>MIN(H173,K173,N173)</f>
        <v/>
      </c>
      <c r="Q173">
        <f>D173*P173</f>
        <v/>
      </c>
      <c r="R173">
        <f>IF(ISBLANK(E173),0,D173*E173)</f>
        <v/>
      </c>
      <c r="S173">
        <f>IF(R173=0,0,(R173-Q173)/R173)</f>
        <v/>
      </c>
      <c r="T173" t="n">
        <v>60</v>
      </c>
      <c r="U173" t="inlineStr">
        <is>
          <t>LAUNCH_INVENTORY</t>
        </is>
      </c>
    </row>
    <row r="174">
      <c r="A174" t="inlineStr">
        <is>
          <t>E2205</t>
        </is>
      </c>
      <c r="B174" t="inlineStr">
        <is>
          <t>M06A</t>
        </is>
      </c>
      <c r="C174" t="inlineStr">
        <is>
          <t>MANUAL WHEELCHAIR ACCESSORY, HANDRIM WITHOUT PROJECTIONS (INCLUDES ERGONOMIC OR CONTOURED), ANY TYPE, REPLACEMENT ONLY, EACH</t>
        </is>
      </c>
      <c r="D174" t="n">
        <v>3</v>
      </c>
      <c r="E174" t="n">
        <v>36.22</v>
      </c>
      <c r="O174">
        <f>IF(P174=H174,IF(ISBLANK(G174),"",F174&amp;" - "&amp;G174),IF(P174=K174,IF(ISBLANK(J174),"",I174&amp;" - "&amp;J174),IF(ISBLANK(M174),"",L174&amp;" - "&amp;M174)))</f>
        <v/>
      </c>
      <c r="P174">
        <f>MIN(H174,K174,N174)</f>
        <v/>
      </c>
      <c r="Q174">
        <f>D174*P174</f>
        <v/>
      </c>
      <c r="R174">
        <f>IF(ISBLANK(E174),0,D174*E174)</f>
        <v/>
      </c>
      <c r="S174">
        <f>IF(R174=0,0,(R174-Q174)/R174)</f>
        <v/>
      </c>
      <c r="T174" t="n">
        <v>60</v>
      </c>
      <c r="U174" t="inlineStr">
        <is>
          <t>LAUNCH_INVENTORY</t>
        </is>
      </c>
    </row>
    <row r="175">
      <c r="A175" t="inlineStr">
        <is>
          <t>K0070</t>
        </is>
      </c>
      <c r="B175" t="inlineStr">
        <is>
          <t>M06A</t>
        </is>
      </c>
      <c r="C175" t="inlineStr">
        <is>
          <t>REAR WHEEL ASSEMBLY, COMPLETE, WITH PNEUMATIC TIRE, SPOKES OR MOLDED, REPLACEMENT ONLY, EACH</t>
        </is>
      </c>
      <c r="D175" t="n">
        <v>3</v>
      </c>
      <c r="E175" t="n">
        <v>16.42</v>
      </c>
      <c r="O175">
        <f>IF(P175=H175,IF(ISBLANK(G175),"",F175&amp;" - "&amp;G175),IF(P175=K175,IF(ISBLANK(J175),"",I175&amp;" - "&amp;J175),IF(ISBLANK(M175),"",L175&amp;" - "&amp;M175)))</f>
        <v/>
      </c>
      <c r="P175">
        <f>MIN(H175,K175,N175)</f>
        <v/>
      </c>
      <c r="Q175">
        <f>D175*P175</f>
        <v/>
      </c>
      <c r="R175">
        <f>IF(ISBLANK(E175),0,D175*E175)</f>
        <v/>
      </c>
      <c r="S175">
        <f>IF(R175=0,0,(R175-Q175)/R175)</f>
        <v/>
      </c>
      <c r="T175" t="n">
        <v>60</v>
      </c>
      <c r="U175" t="inlineStr">
        <is>
          <t>LAUNCH_INVENTORY</t>
        </is>
      </c>
    </row>
    <row r="176">
      <c r="A176" t="inlineStr">
        <is>
          <t>K0069</t>
        </is>
      </c>
      <c r="B176" t="inlineStr">
        <is>
          <t>M06A</t>
        </is>
      </c>
      <c r="C176" t="inlineStr">
        <is>
          <t>REAR WHEEL ASSEMBLY, COMPLETE, WITH SOLID TIRE, SPOKES OR MOLDED, REPLACEMENT ONLY, EACH</t>
        </is>
      </c>
      <c r="D176" t="n">
        <v>3</v>
      </c>
      <c r="E176" t="n">
        <v>98.59</v>
      </c>
      <c r="O176">
        <f>IF(P176=H176,IF(ISBLANK(G176),"",F176&amp;" - "&amp;G176),IF(P176=K176,IF(ISBLANK(J176),"",I176&amp;" - "&amp;J176),IF(ISBLANK(M176),"",L176&amp;" - "&amp;M176)))</f>
        <v/>
      </c>
      <c r="P176">
        <f>MIN(H176,K176,N176)</f>
        <v/>
      </c>
      <c r="Q176">
        <f>D176*P176</f>
        <v/>
      </c>
      <c r="R176">
        <f>IF(ISBLANK(E176),0,D176*E176)</f>
        <v/>
      </c>
      <c r="S176">
        <f>IF(R176=0,0,(R176-Q176)/R176)</f>
        <v/>
      </c>
      <c r="T176" t="n">
        <v>60</v>
      </c>
      <c r="U176" t="inlineStr">
        <is>
          <t>LAUNCH_INVENTORY</t>
        </is>
      </c>
    </row>
    <row r="177">
      <c r="A177" t="inlineStr">
        <is>
          <t>K0056</t>
        </is>
      </c>
      <c r="B177" t="inlineStr">
        <is>
          <t>M06A</t>
        </is>
      </c>
      <c r="C177" t="inlineStr">
        <is>
          <t>SEAT HEIGHT LESS THAN 17" OR EQUAL TO OR GREATER THAN 21" FOR A HIGH STRENGTH, LIGHTWEIGHT, OR ULTRALIGHTWEIGHT WHEELCHAIR</t>
        </is>
      </c>
      <c r="D177" t="n">
        <v>3</v>
      </c>
      <c r="E177" t="n">
        <v>97.15000000000001</v>
      </c>
      <c r="O177">
        <f>IF(P177=H177,IF(ISBLANK(G177),"",F177&amp;" - "&amp;G177),IF(P177=K177,IF(ISBLANK(J177),"",I177&amp;" - "&amp;J177),IF(ISBLANK(M177),"",L177&amp;" - "&amp;M177)))</f>
        <v/>
      </c>
      <c r="P177">
        <f>MIN(H177,K177,N177)</f>
        <v/>
      </c>
      <c r="Q177">
        <f>D177*P177</f>
        <v/>
      </c>
      <c r="R177">
        <f>IF(ISBLANK(E177),0,D177*E177)</f>
        <v/>
      </c>
      <c r="S177">
        <f>IF(R177=0,0,(R177-Q177)/R177)</f>
        <v/>
      </c>
      <c r="T177" t="n">
        <v>60</v>
      </c>
      <c r="U177" t="inlineStr">
        <is>
          <t>LAUNCH_INVENTORY</t>
        </is>
      </c>
    </row>
    <row r="178">
      <c r="A178" t="inlineStr">
        <is>
          <t>K0053</t>
        </is>
      </c>
      <c r="B178" t="inlineStr">
        <is>
          <t>M06A</t>
        </is>
      </c>
      <c r="C178" t="inlineStr">
        <is>
          <t>ELEVATING FOOTRESTS, ARTICULATING (TELESCOPING), EACH</t>
        </is>
      </c>
      <c r="D178" t="n">
        <v>3</v>
      </c>
      <c r="E178" t="n">
        <v>90.23</v>
      </c>
      <c r="O178">
        <f>IF(P178=H178,IF(ISBLANK(G178),"",F178&amp;" - "&amp;G178),IF(P178=K178,IF(ISBLANK(J178),"",I178&amp;" - "&amp;J178),IF(ISBLANK(M178),"",L178&amp;" - "&amp;M178)))</f>
        <v/>
      </c>
      <c r="P178">
        <f>MIN(H178,K178,N178)</f>
        <v/>
      </c>
      <c r="Q178">
        <f>D178*P178</f>
        <v/>
      </c>
      <c r="R178">
        <f>IF(ISBLANK(E178),0,D178*E178)</f>
        <v/>
      </c>
      <c r="S178">
        <f>IF(R178=0,0,(R178-Q178)/R178)</f>
        <v/>
      </c>
      <c r="T178" t="n">
        <v>60</v>
      </c>
      <c r="U178" t="inlineStr">
        <is>
          <t>LAUNCH_INVENTORY</t>
        </is>
      </c>
    </row>
    <row r="179">
      <c r="A179" t="inlineStr">
        <is>
          <t>A6443</t>
        </is>
      </c>
      <c r="B179" t="inlineStr">
        <is>
          <t>S01</t>
        </is>
      </c>
      <c r="C179" t="inlineStr">
        <is>
          <t>CONFORMING BANDAGE, NON-ELASTIC, KNITTED/WOVEN, NON-STERILE, WIDTH GREATER THAN OR EQUAL TO THREE INCHES AND LESS THAN FIVE INCHES, PER YARD</t>
        </is>
      </c>
      <c r="D179" t="n">
        <v>3</v>
      </c>
      <c r="E179" t="n">
        <v>0.39</v>
      </c>
      <c r="O179">
        <f>IF(P179=H179,IF(ISBLANK(G179),"",F179&amp;" - "&amp;G179),IF(P179=K179,IF(ISBLANK(J179),"",I179&amp;" - "&amp;J179),IF(ISBLANK(M179),"",L179&amp;" - "&amp;M179)))</f>
        <v/>
      </c>
      <c r="P179">
        <f>MIN(H179,K179,N179)</f>
        <v/>
      </c>
      <c r="Q179">
        <f>D179*P179</f>
        <v/>
      </c>
      <c r="R179">
        <f>IF(ISBLANK(E179),0,D179*E179)</f>
        <v/>
      </c>
      <c r="S179">
        <f>IF(R179=0,0,(R179-Q179)/R179)</f>
        <v/>
      </c>
      <c r="T179" t="n">
        <v>60</v>
      </c>
      <c r="U179" t="inlineStr">
        <is>
          <t>LAUNCH_INVENTORY</t>
        </is>
      </c>
    </row>
    <row r="180">
      <c r="A180" t="inlineStr">
        <is>
          <t>A6538</t>
        </is>
      </c>
      <c r="B180" t="inlineStr">
        <is>
          <t>S01</t>
        </is>
      </c>
      <c r="C180" t="inlineStr">
        <is>
          <t>GRADIENT COMPRESSION STOCKING, FULL LENGTH/CHAP STYLE, 40 MMHG OR GREATER, EACH</t>
        </is>
      </c>
      <c r="D180" t="n">
        <v>3</v>
      </c>
      <c r="E180" t="n">
        <v>99.95</v>
      </c>
      <c r="O180">
        <f>IF(P180=H180,IF(ISBLANK(G180),"",F180&amp;" - "&amp;G180),IF(P180=K180,IF(ISBLANK(J180),"",I180&amp;" - "&amp;J180),IF(ISBLANK(M180),"",L180&amp;" - "&amp;M180)))</f>
        <v/>
      </c>
      <c r="P180">
        <f>MIN(H180,K180,N180)</f>
        <v/>
      </c>
      <c r="Q180">
        <f>D180*P180</f>
        <v/>
      </c>
      <c r="R180">
        <f>IF(ISBLANK(E180),0,D180*E180)</f>
        <v/>
      </c>
      <c r="S180">
        <f>IF(R180=0,0,(R180-Q180)/R180)</f>
        <v/>
      </c>
      <c r="T180" t="n">
        <v>60</v>
      </c>
      <c r="U180" t="inlineStr">
        <is>
          <t>LAUNCH_INVENTORY</t>
        </is>
      </c>
    </row>
    <row r="181">
      <c r="A181" t="inlineStr">
        <is>
          <t>A6537</t>
        </is>
      </c>
      <c r="B181" t="inlineStr">
        <is>
          <t>S01</t>
        </is>
      </c>
      <c r="C181" t="inlineStr">
        <is>
          <t>GRADIENT COMPRESSION STOCKING, FULL LENGTH/CHAP STYLE, 30-40 MMHG, EACH</t>
        </is>
      </c>
      <c r="D181" t="n">
        <v>3</v>
      </c>
      <c r="E181" t="n">
        <v>85.37</v>
      </c>
      <c r="O181">
        <f>IF(P181=H181,IF(ISBLANK(G181),"",F181&amp;" - "&amp;G181),IF(P181=K181,IF(ISBLANK(J181),"",I181&amp;" - "&amp;J181),IF(ISBLANK(M181),"",L181&amp;" - "&amp;M181)))</f>
        <v/>
      </c>
      <c r="P181">
        <f>MIN(H181,K181,N181)</f>
        <v/>
      </c>
      <c r="Q181">
        <f>D181*P181</f>
        <v/>
      </c>
      <c r="R181">
        <f>IF(ISBLANK(E181),0,D181*E181)</f>
        <v/>
      </c>
      <c r="S181">
        <f>IF(R181=0,0,(R181-Q181)/R181)</f>
        <v/>
      </c>
      <c r="T181" t="n">
        <v>60</v>
      </c>
      <c r="U181" t="inlineStr">
        <is>
          <t>LAUNCH_INVENTORY</t>
        </is>
      </c>
    </row>
    <row r="182">
      <c r="A182" t="inlineStr">
        <is>
          <t>A6259</t>
        </is>
      </c>
      <c r="B182" t="inlineStr">
        <is>
          <t>S01</t>
        </is>
      </c>
      <c r="C182" t="inlineStr">
        <is>
          <t>TRANSPARENT FILM, STERILE, MORE THAN 48 SQ. IN., EACH DRESSING</t>
        </is>
      </c>
      <c r="D182" t="n">
        <v>3</v>
      </c>
      <c r="E182" t="n">
        <v>15.28</v>
      </c>
      <c r="O182">
        <f>IF(P182=H182,IF(ISBLANK(G182),"",F182&amp;" - "&amp;G182),IF(P182=K182,IF(ISBLANK(J182),"",I182&amp;" - "&amp;J182),IF(ISBLANK(M182),"",L182&amp;" - "&amp;M182)))</f>
        <v/>
      </c>
      <c r="P182">
        <f>MIN(H182,K182,N182)</f>
        <v/>
      </c>
      <c r="Q182">
        <f>D182*P182</f>
        <v/>
      </c>
      <c r="R182">
        <f>IF(ISBLANK(E182),0,D182*E182)</f>
        <v/>
      </c>
      <c r="S182">
        <f>IF(R182=0,0,(R182-Q182)/R182)</f>
        <v/>
      </c>
      <c r="T182" t="n">
        <v>60</v>
      </c>
      <c r="U182" t="inlineStr">
        <is>
          <t>LAUNCH_INVENTORY</t>
        </is>
      </c>
    </row>
    <row r="183">
      <c r="A183" t="inlineStr">
        <is>
          <t>A6407</t>
        </is>
      </c>
      <c r="B183" t="inlineStr">
        <is>
          <t>S01</t>
        </is>
      </c>
      <c r="C183" t="inlineStr">
        <is>
          <t>PACKING STRIPS, NON-IMPREGNATED, STERILE, UP TO 2 INCHES IN WIDTH, PER LINEAR YARD</t>
        </is>
      </c>
      <c r="D183" t="n">
        <v>3</v>
      </c>
      <c r="E183" t="n">
        <v>2.61</v>
      </c>
      <c r="O183">
        <f>IF(P183=H183,IF(ISBLANK(G183),"",F183&amp;" - "&amp;G183),IF(P183=K183,IF(ISBLANK(J183),"",I183&amp;" - "&amp;J183),IF(ISBLANK(M183),"",L183&amp;" - "&amp;M183)))</f>
        <v/>
      </c>
      <c r="P183">
        <f>MIN(H183,K183,N183)</f>
        <v/>
      </c>
      <c r="Q183">
        <f>D183*P183</f>
        <v/>
      </c>
      <c r="R183">
        <f>IF(ISBLANK(E183),0,D183*E183)</f>
        <v/>
      </c>
      <c r="S183">
        <f>IF(R183=0,0,(R183-Q183)/R183)</f>
        <v/>
      </c>
      <c r="T183" t="n">
        <v>60</v>
      </c>
      <c r="U183" t="inlineStr">
        <is>
          <t>LAUNCH_INVENTORY</t>
        </is>
      </c>
    </row>
    <row r="184">
      <c r="A184" t="inlineStr">
        <is>
          <t>A6596</t>
        </is>
      </c>
      <c r="B184" t="inlineStr">
        <is>
          <t>S04</t>
        </is>
      </c>
      <c r="C184" t="inlineStr">
        <is>
          <t>GRADIENT COMPRESSION BANDAGING SUPPLY, CONFORMING GAUZE, PER LINEAR YARD, ANY WIDTH, EACH</t>
        </is>
      </c>
      <c r="D184" t="n">
        <v>3</v>
      </c>
      <c r="E184" t="n">
        <v>0.18</v>
      </c>
      <c r="O184">
        <f>IF(P184=H184,IF(ISBLANK(G184),"",F184&amp;" - "&amp;G184),IF(P184=K184,IF(ISBLANK(J184),"",I184&amp;" - "&amp;J184),IF(ISBLANK(M184),"",L184&amp;" - "&amp;M184)))</f>
        <v/>
      </c>
      <c r="P184">
        <f>MIN(H184,K184,N184)</f>
        <v/>
      </c>
      <c r="Q184">
        <f>D184*P184</f>
        <v/>
      </c>
      <c r="R184">
        <f>IF(ISBLANK(E184),0,D184*E184)</f>
        <v/>
      </c>
      <c r="S184">
        <f>IF(R184=0,0,(R184-Q184)/R184)</f>
        <v/>
      </c>
      <c r="T184" t="n">
        <v>60</v>
      </c>
      <c r="U184" t="inlineStr">
        <is>
          <t>LAUNCH_INVENTORY</t>
        </is>
      </c>
    </row>
    <row r="185">
      <c r="A185" t="inlineStr">
        <is>
          <t>A6597</t>
        </is>
      </c>
      <c r="B185" t="inlineStr">
        <is>
          <t>S04</t>
        </is>
      </c>
      <c r="C185" t="inlineStr">
        <is>
          <t>GRADIENT COMPRESSION BANDAGE ROLL, ELASTIC LONG STRETCH, LINEAR YARD, ANY WIDTH, EACH</t>
        </is>
      </c>
      <c r="D185" t="n">
        <v>3</v>
      </c>
      <c r="E185" t="n">
        <v>1.51</v>
      </c>
      <c r="O185">
        <f>IF(P185=H185,IF(ISBLANK(G185),"",F185&amp;" - "&amp;G185),IF(P185=K185,IF(ISBLANK(J185),"",I185&amp;" - "&amp;J185),IF(ISBLANK(M185),"",L185&amp;" - "&amp;M185)))</f>
        <v/>
      </c>
      <c r="P185">
        <f>MIN(H185,K185,N185)</f>
        <v/>
      </c>
      <c r="Q185">
        <f>D185*P185</f>
        <v/>
      </c>
      <c r="R185">
        <f>IF(ISBLANK(E185),0,D185*E185)</f>
        <v/>
      </c>
      <c r="S185">
        <f>IF(R185=0,0,(R185-Q185)/R185)</f>
        <v/>
      </c>
      <c r="T185" t="n">
        <v>60</v>
      </c>
      <c r="U185" t="inlineStr">
        <is>
          <t>LAUNCH_INVENTORY</t>
        </is>
      </c>
    </row>
    <row r="186">
      <c r="A186" t="inlineStr">
        <is>
          <t>A6245</t>
        </is>
      </c>
      <c r="B186" t="inlineStr">
        <is>
          <t>S01</t>
        </is>
      </c>
      <c r="C186" t="inlineStr">
        <is>
          <t>HYDROGEL DRESSING, WOUND COVER, STERILE, PAD SIZE 16 SQ. IN. OR LESS, WITH ANY SIZE ADHESIVE BORDER, EACH DRESSING</t>
        </is>
      </c>
      <c r="D186" t="n">
        <v>3</v>
      </c>
      <c r="E186" t="n">
        <v>10.16</v>
      </c>
      <c r="O186">
        <f>IF(P186=H186,IF(ISBLANK(G186),"",F186&amp;" - "&amp;G186),IF(P186=K186,IF(ISBLANK(J186),"",I186&amp;" - "&amp;J186),IF(ISBLANK(M186),"",L186&amp;" - "&amp;M186)))</f>
        <v/>
      </c>
      <c r="P186">
        <f>MIN(H186,K186,N186)</f>
        <v/>
      </c>
      <c r="Q186">
        <f>D186*P186</f>
        <v/>
      </c>
      <c r="R186">
        <f>IF(ISBLANK(E186),0,D186*E186)</f>
        <v/>
      </c>
      <c r="S186">
        <f>IF(R186=0,0,(R186-Q186)/R186)</f>
        <v/>
      </c>
      <c r="T186" t="n">
        <v>60</v>
      </c>
      <c r="U186" t="inlineStr">
        <is>
          <t>LAUNCH_INVENTORY</t>
        </is>
      </c>
    </row>
    <row r="187">
      <c r="A187" t="inlineStr">
        <is>
          <t>A6586</t>
        </is>
      </c>
      <c r="B187" t="inlineStr">
        <is>
          <t>S04</t>
        </is>
      </c>
      <c r="C187" t="inlineStr">
        <is>
          <t>GRADIENT COMPRESSION WRAP WITH ADJUSTABLE STRAPS, FULL LEG, EACH</t>
        </is>
      </c>
      <c r="D187" t="n">
        <v>3</v>
      </c>
      <c r="E187" t="n">
        <v>543.9</v>
      </c>
      <c r="O187">
        <f>IF(P187=H187,IF(ISBLANK(G187),"",F187&amp;" - "&amp;G187),IF(P187=K187,IF(ISBLANK(J187),"",I187&amp;" - "&amp;J187),IF(ISBLANK(M187),"",L187&amp;" - "&amp;M187)))</f>
        <v/>
      </c>
      <c r="P187">
        <f>MIN(H187,K187,N187)</f>
        <v/>
      </c>
      <c r="Q187">
        <f>D187*P187</f>
        <v/>
      </c>
      <c r="R187">
        <f>IF(ISBLANK(E187),0,D187*E187)</f>
        <v/>
      </c>
      <c r="S187">
        <f>IF(R187=0,0,(R187-Q187)/R187)</f>
        <v/>
      </c>
      <c r="T187" t="n">
        <v>60</v>
      </c>
      <c r="U187" t="inlineStr">
        <is>
          <t>LAUNCH_INVENTORY</t>
        </is>
      </c>
    </row>
    <row r="188">
      <c r="A188" t="inlineStr">
        <is>
          <t>A6585</t>
        </is>
      </c>
      <c r="B188" t="inlineStr">
        <is>
          <t>S04</t>
        </is>
      </c>
      <c r="C188" t="inlineStr">
        <is>
          <t>GRADIENT COMPRESSION WRAP WITH ADJUSTABLE STRAPS, ABOVE KNEE, EACH</t>
        </is>
      </c>
      <c r="D188" t="n">
        <v>3</v>
      </c>
      <c r="E188" t="n">
        <v>184.62</v>
      </c>
      <c r="O188">
        <f>IF(P188=H188,IF(ISBLANK(G188),"",F188&amp;" - "&amp;G188),IF(P188=K188,IF(ISBLANK(J188),"",I188&amp;" - "&amp;J188),IF(ISBLANK(M188),"",L188&amp;" - "&amp;M188)))</f>
        <v/>
      </c>
      <c r="P188">
        <f>MIN(H188,K188,N188)</f>
        <v/>
      </c>
      <c r="Q188">
        <f>D188*P188</f>
        <v/>
      </c>
      <c r="R188">
        <f>IF(ISBLANK(E188),0,D188*E188)</f>
        <v/>
      </c>
      <c r="S188">
        <f>IF(R188=0,0,(R188-Q188)/R188)</f>
        <v/>
      </c>
      <c r="T188" t="n">
        <v>60</v>
      </c>
      <c r="U188" t="inlineStr">
        <is>
          <t>LAUNCH_INVENTORY</t>
        </is>
      </c>
    </row>
    <row r="189">
      <c r="A189" t="inlineStr">
        <is>
          <t>A6602</t>
        </is>
      </c>
      <c r="B189" t="inlineStr">
        <is>
          <t>S04</t>
        </is>
      </c>
      <c r="C189" t="inlineStr">
        <is>
          <t>GRADIENT COMPRESSION BANDAGING SUPPLY, HIGH DENSITY FOAM ROLL FOR BANDAGE, PER LINEAR YARD, ANY WIDTH, EACH</t>
        </is>
      </c>
      <c r="D189" t="n">
        <v>3</v>
      </c>
      <c r="E189" t="n">
        <v>4.9</v>
      </c>
      <c r="O189">
        <f>IF(P189=H189,IF(ISBLANK(G189),"",F189&amp;" - "&amp;G189),IF(P189=K189,IF(ISBLANK(J189),"",I189&amp;" - "&amp;J189),IF(ISBLANK(M189),"",L189&amp;" - "&amp;M189)))</f>
        <v/>
      </c>
      <c r="P189">
        <f>MIN(H189,K189,N189)</f>
        <v/>
      </c>
      <c r="Q189">
        <f>D189*P189</f>
        <v/>
      </c>
      <c r="R189">
        <f>IF(ISBLANK(E189),0,D189*E189)</f>
        <v/>
      </c>
      <c r="S189">
        <f>IF(R189=0,0,(R189-Q189)/R189)</f>
        <v/>
      </c>
      <c r="T189" t="n">
        <v>60</v>
      </c>
      <c r="U189" t="inlineStr">
        <is>
          <t>LAUNCH_INVENTORY</t>
        </is>
      </c>
    </row>
    <row r="190">
      <c r="A190" t="inlineStr">
        <is>
          <t>A6199</t>
        </is>
      </c>
      <c r="B190" t="inlineStr">
        <is>
          <t>S01</t>
        </is>
      </c>
      <c r="C190" t="inlineStr">
        <is>
          <t>ALGINATE OR OTHER FIBER GELLING DRESSING, WOUND FILLER, STERILE, PER 6 INCHES</t>
        </is>
      </c>
      <c r="D190" t="n">
        <v>3</v>
      </c>
      <c r="E190" t="n">
        <v>7.37</v>
      </c>
      <c r="O190">
        <f>IF(P190=H190,IF(ISBLANK(G190),"",F190&amp;" - "&amp;G190),IF(P190=K190,IF(ISBLANK(J190),"",I190&amp;" - "&amp;J190),IF(ISBLANK(M190),"",L190&amp;" - "&amp;M190)))</f>
        <v/>
      </c>
      <c r="P190">
        <f>MIN(H190,K190,N190)</f>
        <v/>
      </c>
      <c r="Q190">
        <f>D190*P190</f>
        <v/>
      </c>
      <c r="R190">
        <f>IF(ISBLANK(E190),0,D190*E190)</f>
        <v/>
      </c>
      <c r="S190">
        <f>IF(R190=0,0,(R190-Q190)/R190)</f>
        <v/>
      </c>
      <c r="T190" t="n">
        <v>60</v>
      </c>
      <c r="U190" t="inlineStr">
        <is>
          <t>LAUNCH_INVENTORY</t>
        </is>
      </c>
    </row>
    <row r="191">
      <c r="A191" t="inlineStr">
        <is>
          <t>A6254</t>
        </is>
      </c>
      <c r="B191" t="inlineStr">
        <is>
          <t>S01</t>
        </is>
      </c>
      <c r="C191" t="inlineStr">
        <is>
          <t>SPECIALTY ABSORPTIVE DRESSING, WOUND COVER, STERILE, PAD SIZE 16 SQ. IN. OR LESS, WITH ANY SIZE ADHESIVE BORDER, EACH DRESSING</t>
        </is>
      </c>
      <c r="D191" t="n">
        <v>3</v>
      </c>
      <c r="E191" t="n">
        <v>1.67</v>
      </c>
      <c r="O191">
        <f>IF(P191=H191,IF(ISBLANK(G191),"",F191&amp;" - "&amp;G191),IF(P191=K191,IF(ISBLANK(J191),"",I191&amp;" - "&amp;J191),IF(ISBLANK(M191),"",L191&amp;" - "&amp;M191)))</f>
        <v/>
      </c>
      <c r="P191">
        <f>MIN(H191,K191,N191)</f>
        <v/>
      </c>
      <c r="Q191">
        <f>D191*P191</f>
        <v/>
      </c>
      <c r="R191">
        <f>IF(ISBLANK(E191),0,D191*E191)</f>
        <v/>
      </c>
      <c r="S191">
        <f>IF(R191=0,0,(R191-Q191)/R191)</f>
        <v/>
      </c>
      <c r="T191" t="n">
        <v>60</v>
      </c>
      <c r="U191" t="inlineStr">
        <is>
          <t>LAUNCH_INVENTORY</t>
        </is>
      </c>
    </row>
    <row r="192">
      <c r="A192" t="inlineStr">
        <is>
          <t>A6255</t>
        </is>
      </c>
      <c r="B192" t="inlineStr">
        <is>
          <t>S01</t>
        </is>
      </c>
      <c r="C192" t="inlineStr">
        <is>
          <t>SPECIALTY ABSORPTIVE DRESSING, WOUND COVER, STERILE, PAD SIZE MORE THAN 16 SQ. IN. BUT LESS THAN OR EQUAL TO 48 SQ. IN., WITH ANY SIZE ADHESIVE BORDER, EACH DRESSING</t>
        </is>
      </c>
      <c r="D192" t="n">
        <v>3</v>
      </c>
      <c r="E192" t="n">
        <v>4.25</v>
      </c>
      <c r="O192">
        <f>IF(P192=H192,IF(ISBLANK(G192),"",F192&amp;" - "&amp;G192),IF(P192=K192,IF(ISBLANK(J192),"",I192&amp;" - "&amp;J192),IF(ISBLANK(M192),"",L192&amp;" - "&amp;M192)))</f>
        <v/>
      </c>
      <c r="P192">
        <f>MIN(H192,K192,N192)</f>
        <v/>
      </c>
      <c r="Q192">
        <f>D192*P192</f>
        <v/>
      </c>
      <c r="R192">
        <f>IF(ISBLANK(E192),0,D192*E192)</f>
        <v/>
      </c>
      <c r="S192">
        <f>IF(R192=0,0,(R192-Q192)/R192)</f>
        <v/>
      </c>
      <c r="T192" t="n">
        <v>60</v>
      </c>
      <c r="U192" t="inlineStr">
        <is>
          <t>LAUNCH_INVENTORY</t>
        </is>
      </c>
    </row>
    <row r="193">
      <c r="A193" t="inlineStr">
        <is>
          <t>A6257</t>
        </is>
      </c>
      <c r="B193" t="inlineStr">
        <is>
          <t>S01</t>
        </is>
      </c>
      <c r="C193" t="inlineStr">
        <is>
          <t>TRANSPARENT FILM, STERILE, 16 SQ. IN. OR LESS, EACH DRESSING</t>
        </is>
      </c>
      <c r="D193" t="n">
        <v>3</v>
      </c>
      <c r="E193" t="n">
        <v>2.14</v>
      </c>
      <c r="O193">
        <f>IF(P193=H193,IF(ISBLANK(G193),"",F193&amp;" - "&amp;G193),IF(P193=K193,IF(ISBLANK(J193),"",I193&amp;" - "&amp;J193),IF(ISBLANK(M193),"",L193&amp;" - "&amp;M193)))</f>
        <v/>
      </c>
      <c r="P193">
        <f>MIN(H193,K193,N193)</f>
        <v/>
      </c>
      <c r="Q193">
        <f>D193*P193</f>
        <v/>
      </c>
      <c r="R193">
        <f>IF(ISBLANK(E193),0,D193*E193)</f>
        <v/>
      </c>
      <c r="S193">
        <f>IF(R193=0,0,(R193-Q193)/R193)</f>
        <v/>
      </c>
      <c r="T193" t="n">
        <v>60</v>
      </c>
      <c r="U193" t="inlineStr">
        <is>
          <t>LAUNCH_INVENTORY</t>
        </is>
      </c>
    </row>
    <row r="194">
      <c r="A194" t="inlineStr">
        <is>
          <t>A6258</t>
        </is>
      </c>
      <c r="B194" t="inlineStr">
        <is>
          <t>S01</t>
        </is>
      </c>
      <c r="C194" t="inlineStr">
        <is>
          <t>TRANSPARENT FILM, STERILE, MORE THAN 16 SQ. IN. BUT LESS THAN OR EQUAL TO 48 SQ. IN., EACH DRESSING</t>
        </is>
      </c>
      <c r="D194" t="n">
        <v>3</v>
      </c>
      <c r="E194" t="n">
        <v>6.02</v>
      </c>
      <c r="O194">
        <f>IF(P194=H194,IF(ISBLANK(G194),"",F194&amp;" - "&amp;G194),IF(P194=K194,IF(ISBLANK(J194),"",I194&amp;" - "&amp;J194),IF(ISBLANK(M194),"",L194&amp;" - "&amp;M194)))</f>
        <v/>
      </c>
      <c r="P194">
        <f>MIN(H194,K194,N194)</f>
        <v/>
      </c>
      <c r="Q194">
        <f>D194*P194</f>
        <v/>
      </c>
      <c r="R194">
        <f>IF(ISBLANK(E194),0,D194*E194)</f>
        <v/>
      </c>
      <c r="S194">
        <f>IF(R194=0,0,(R194-Q194)/R194)</f>
        <v/>
      </c>
      <c r="T194" t="n">
        <v>60</v>
      </c>
      <c r="U194" t="inlineStr">
        <is>
          <t>LAUNCH_INVENTORY</t>
        </is>
      </c>
    </row>
    <row r="195">
      <c r="A195" t="inlineStr">
        <is>
          <t>K0037</t>
        </is>
      </c>
      <c r="B195" t="inlineStr">
        <is>
          <t>M06A</t>
        </is>
      </c>
      <c r="C195" t="inlineStr">
        <is>
          <t>HIGH MOUNT FLIP-UP FOOTREST, EACH</t>
        </is>
      </c>
      <c r="D195" t="n">
        <v>3</v>
      </c>
      <c r="E195" t="n">
        <v>49.29</v>
      </c>
      <c r="O195">
        <f>IF(P195=H195,IF(ISBLANK(G195),"",F195&amp;" - "&amp;G195),IF(P195=K195,IF(ISBLANK(J195),"",I195&amp;" - "&amp;J195),IF(ISBLANK(M195),"",L195&amp;" - "&amp;M195)))</f>
        <v/>
      </c>
      <c r="P195">
        <f>MIN(H195,K195,N195)</f>
        <v/>
      </c>
      <c r="Q195">
        <f>D195*P195</f>
        <v/>
      </c>
      <c r="R195">
        <f>IF(ISBLANK(E195),0,D195*E195)</f>
        <v/>
      </c>
      <c r="S195">
        <f>IF(R195=0,0,(R195-Q195)/R195)</f>
        <v/>
      </c>
      <c r="T195" t="n">
        <v>60</v>
      </c>
      <c r="U195" t="inlineStr">
        <is>
          <t>LAUNCH_INVENTORY</t>
        </is>
      </c>
    </row>
    <row r="196">
      <c r="A196" t="inlineStr">
        <is>
          <t>A6442</t>
        </is>
      </c>
      <c r="B196" t="inlineStr">
        <is>
          <t>S01</t>
        </is>
      </c>
      <c r="C196" t="inlineStr">
        <is>
          <t>CONFORMING BANDAGE, NON-ELASTIC, KNITTED/WOVEN, NON-STERILE, WIDTH LESS THAN THREE INCHES, PER YARD</t>
        </is>
      </c>
      <c r="D196" t="n">
        <v>3</v>
      </c>
      <c r="E196" t="n">
        <v>0.23</v>
      </c>
      <c r="O196">
        <f>IF(P196=H196,IF(ISBLANK(G196),"",F196&amp;" - "&amp;G196),IF(P196=K196,IF(ISBLANK(J196),"",I196&amp;" - "&amp;J196),IF(ISBLANK(M196),"",L196&amp;" - "&amp;M196)))</f>
        <v/>
      </c>
      <c r="P196">
        <f>MIN(H196,K196,N196)</f>
        <v/>
      </c>
      <c r="Q196">
        <f>D196*P196</f>
        <v/>
      </c>
      <c r="R196">
        <f>IF(ISBLANK(E196),0,D196*E196)</f>
        <v/>
      </c>
      <c r="S196">
        <f>IF(R196=0,0,(R196-Q196)/R196)</f>
        <v/>
      </c>
      <c r="T196" t="n">
        <v>60</v>
      </c>
      <c r="U196" t="inlineStr">
        <is>
          <t>LAUNCH_INVENTORY</t>
        </is>
      </c>
    </row>
    <row r="197">
      <c r="A197" t="inlineStr">
        <is>
          <t>A6410</t>
        </is>
      </c>
      <c r="B197" t="inlineStr">
        <is>
          <t>S01</t>
        </is>
      </c>
      <c r="C197" t="inlineStr">
        <is>
          <t>EYE PAD, STERILE, EACH</t>
        </is>
      </c>
      <c r="D197" t="n">
        <v>3</v>
      </c>
      <c r="E197" t="n">
        <v>0.52</v>
      </c>
      <c r="O197">
        <f>IF(P197=H197,IF(ISBLANK(G197),"",F197&amp;" - "&amp;G197),IF(P197=K197,IF(ISBLANK(J197),"",I197&amp;" - "&amp;J197),IF(ISBLANK(M197),"",L197&amp;" - "&amp;M197)))</f>
        <v/>
      </c>
      <c r="P197">
        <f>MIN(H197,K197,N197)</f>
        <v/>
      </c>
      <c r="Q197">
        <f>D197*P197</f>
        <v/>
      </c>
      <c r="R197">
        <f>IF(ISBLANK(E197),0,D197*E197)</f>
        <v/>
      </c>
      <c r="S197">
        <f>IF(R197=0,0,(R197-Q197)/R197)</f>
        <v/>
      </c>
      <c r="T197" t="n">
        <v>60</v>
      </c>
      <c r="U197" t="inlineStr">
        <is>
          <t>LAUNCH_INVENTORY</t>
        </is>
      </c>
    </row>
    <row r="198">
      <c r="A198" t="inlineStr">
        <is>
          <t>A6454</t>
        </is>
      </c>
      <c r="B198" t="inlineStr">
        <is>
          <t>S01</t>
        </is>
      </c>
      <c r="C198" t="inlineStr">
        <is>
          <t>SELF-ADHERENT BANDAGE, ELASTIC, NON-KNITTED/NON-WOVEN, WIDTH GREATER THAN OR EQUAL TO THREE INCHES AND LESS THAN FIVE INCHES, PER YARD</t>
        </is>
      </c>
      <c r="D198" t="n">
        <v>3</v>
      </c>
      <c r="E198" t="n">
        <v>1.1</v>
      </c>
      <c r="O198">
        <f>IF(P198=H198,IF(ISBLANK(G198),"",F198&amp;" - "&amp;G198),IF(P198=K198,IF(ISBLANK(J198),"",I198&amp;" - "&amp;J198),IF(ISBLANK(M198),"",L198&amp;" - "&amp;M198)))</f>
        <v/>
      </c>
      <c r="P198">
        <f>MIN(H198,K198,N198)</f>
        <v/>
      </c>
      <c r="Q198">
        <f>D198*P198</f>
        <v/>
      </c>
      <c r="R198">
        <f>IF(ISBLANK(E198),0,D198*E198)</f>
        <v/>
      </c>
      <c r="S198">
        <f>IF(R198=0,0,(R198-Q198)/R198)</f>
        <v/>
      </c>
      <c r="T198" t="n">
        <v>60</v>
      </c>
      <c r="U198" t="inlineStr">
        <is>
          <t>LAUNCH_INVENTORY</t>
        </is>
      </c>
    </row>
    <row r="199">
      <c r="A199" t="inlineStr">
        <is>
          <t>A6403</t>
        </is>
      </c>
      <c r="B199" t="inlineStr">
        <is>
          <t>S01</t>
        </is>
      </c>
      <c r="C199" t="inlineStr">
        <is>
          <t>GAUZE, NON-IMPREGNATED, STERILE, PAD SIZE MORE THAN 16 SQ. IN. LESS THAN OR EQUAL TO 48 SQ. IN., WITHOUT ADHESIVE BORDER, EACH DRESSING</t>
        </is>
      </c>
      <c r="D199" t="n">
        <v>3</v>
      </c>
      <c r="E199" t="n">
        <v>0.57</v>
      </c>
      <c r="O199">
        <f>IF(P199=H199,IF(ISBLANK(G199),"",F199&amp;" - "&amp;G199),IF(P199=K199,IF(ISBLANK(J199),"",I199&amp;" - "&amp;J199),IF(ISBLANK(M199),"",L199&amp;" - "&amp;M199)))</f>
        <v/>
      </c>
      <c r="P199">
        <f>MIN(H199,K199,N199)</f>
        <v/>
      </c>
      <c r="Q199">
        <f>D199*P199</f>
        <v/>
      </c>
      <c r="R199">
        <f>IF(ISBLANK(E199),0,D199*E199)</f>
        <v/>
      </c>
      <c r="S199">
        <f>IF(R199=0,0,(R199-Q199)/R199)</f>
        <v/>
      </c>
      <c r="T199" t="n">
        <v>60</v>
      </c>
      <c r="U199" t="inlineStr">
        <is>
          <t>LAUNCH_INVENTORY</t>
        </is>
      </c>
    </row>
    <row r="200">
      <c r="A200" t="inlineStr">
        <is>
          <t>A6446</t>
        </is>
      </c>
      <c r="B200" t="inlineStr">
        <is>
          <t>S01</t>
        </is>
      </c>
      <c r="C200" t="inlineStr">
        <is>
          <t>CONFORMING BANDAGE, NON-ELASTIC, KNITTED/WOVEN, STERILE, WIDTH GREATER THAN OR EQUAL TO THREE INCHES AND LESS THAN FIVE INCHES, PER YARD</t>
        </is>
      </c>
      <c r="D200" t="n">
        <v>3</v>
      </c>
      <c r="E200" t="n">
        <v>0.54</v>
      </c>
      <c r="O200">
        <f>IF(P200=H200,IF(ISBLANK(G200),"",F200&amp;" - "&amp;G200),IF(P200=K200,IF(ISBLANK(J200),"",I200&amp;" - "&amp;J200),IF(ISBLANK(M200),"",L200&amp;" - "&amp;M200)))</f>
        <v/>
      </c>
      <c r="P200">
        <f>MIN(H200,K200,N200)</f>
        <v/>
      </c>
      <c r="Q200">
        <f>D200*P200</f>
        <v/>
      </c>
      <c r="R200">
        <f>IF(ISBLANK(E200),0,D200*E200)</f>
        <v/>
      </c>
      <c r="S200">
        <f>IF(R200=0,0,(R200-Q200)/R200)</f>
        <v/>
      </c>
      <c r="T200" t="n">
        <v>60</v>
      </c>
      <c r="U200" t="inlineStr">
        <is>
          <t>LAUNCH_INVENTORY</t>
        </is>
      </c>
    </row>
    <row r="201">
      <c r="A201" t="inlineStr">
        <is>
          <t>A6445</t>
        </is>
      </c>
      <c r="B201" t="inlineStr">
        <is>
          <t>S01</t>
        </is>
      </c>
      <c r="C201" t="inlineStr">
        <is>
          <t>CONFORMING BANDAGE, NON-ELASTIC, KNITTED/WOVEN, STERILE, WIDTH LESS THAN THREE INCHES, PER YARD</t>
        </is>
      </c>
      <c r="D201" t="n">
        <v>3</v>
      </c>
      <c r="E201" t="n">
        <v>0.44</v>
      </c>
      <c r="O201">
        <f>IF(P201=H201,IF(ISBLANK(G201),"",F201&amp;" - "&amp;G201),IF(P201=K201,IF(ISBLANK(J201),"",I201&amp;" - "&amp;J201),IF(ISBLANK(M201),"",L201&amp;" - "&amp;M201)))</f>
        <v/>
      </c>
      <c r="P201">
        <f>MIN(H201,K201,N201)</f>
        <v/>
      </c>
      <c r="Q201">
        <f>D201*P201</f>
        <v/>
      </c>
      <c r="R201">
        <f>IF(ISBLANK(E201),0,D201*E201)</f>
        <v/>
      </c>
      <c r="S201">
        <f>IF(R201=0,0,(R201-Q201)/R201)</f>
        <v/>
      </c>
      <c r="T201" t="n">
        <v>60</v>
      </c>
      <c r="U201" t="inlineStr">
        <is>
          <t>LAUNCH_INVENTORY</t>
        </is>
      </c>
    </row>
    <row r="202">
      <c r="A202" t="inlineStr">
        <is>
          <t>A6444</t>
        </is>
      </c>
      <c r="B202" t="inlineStr">
        <is>
          <t>S01</t>
        </is>
      </c>
      <c r="C202" t="inlineStr">
        <is>
          <t>CONFORMING BANDAGE, NON-ELASTIC, KNITTED/WOVEN, NON-STERILE, WIDTH GREATER THAN OR EQUAL TO 5 INCHES, PER YARD</t>
        </is>
      </c>
      <c r="D202" t="n">
        <v>3</v>
      </c>
      <c r="E202" t="n">
        <v>0.78</v>
      </c>
      <c r="O202">
        <f>IF(P202=H202,IF(ISBLANK(G202),"",F202&amp;" - "&amp;G202),IF(P202=K202,IF(ISBLANK(J202),"",I202&amp;" - "&amp;J202),IF(ISBLANK(M202),"",L202&amp;" - "&amp;M202)))</f>
        <v/>
      </c>
      <c r="P202">
        <f>MIN(H202,K202,N202)</f>
        <v/>
      </c>
      <c r="Q202">
        <f>D202*P202</f>
        <v/>
      </c>
      <c r="R202">
        <f>IF(ISBLANK(E202),0,D202*E202)</f>
        <v/>
      </c>
      <c r="S202">
        <f>IF(R202=0,0,(R202-Q202)/R202)</f>
        <v/>
      </c>
      <c r="T202" t="n">
        <v>60</v>
      </c>
      <c r="U202" t="inlineStr">
        <is>
          <t>LAUNCH_INVENTORY</t>
        </is>
      </c>
    </row>
    <row r="203">
      <c r="A203" t="inlineStr">
        <is>
          <t>A6539</t>
        </is>
      </c>
      <c r="B203" t="inlineStr">
        <is>
          <t>S01</t>
        </is>
      </c>
      <c r="C203" t="inlineStr">
        <is>
          <t>GRADIENT COMPRESSION STOCKING, WAIST LENGTH, 18-30 MMHG, EACH</t>
        </is>
      </c>
      <c r="D203" t="n">
        <v>3</v>
      </c>
      <c r="E203" t="n">
        <v>95.29000000000001</v>
      </c>
      <c r="O203">
        <f>IF(P203=H203,IF(ISBLANK(G203),"",F203&amp;" - "&amp;G203),IF(P203=K203,IF(ISBLANK(J203),"",I203&amp;" - "&amp;J203),IF(ISBLANK(M203),"",L203&amp;" - "&amp;M203)))</f>
        <v/>
      </c>
      <c r="P203">
        <f>MIN(H203,K203,N203)</f>
        <v/>
      </c>
      <c r="Q203">
        <f>D203*P203</f>
        <v/>
      </c>
      <c r="R203">
        <f>IF(ISBLANK(E203),0,D203*E203)</f>
        <v/>
      </c>
      <c r="S203">
        <f>IF(R203=0,0,(R203-Q203)/R203)</f>
        <v/>
      </c>
      <c r="T203" t="n">
        <v>60</v>
      </c>
      <c r="U203" t="inlineStr">
        <is>
          <t>LAUNCH_INVENTORY</t>
        </is>
      </c>
    </row>
    <row r="204">
      <c r="A204" t="inlineStr">
        <is>
          <t>A4333</t>
        </is>
      </c>
      <c r="B204" t="inlineStr">
        <is>
          <t>PD09</t>
        </is>
      </c>
      <c r="C204" t="inlineStr">
        <is>
          <t>URINARY CATHETER ANCHORING DEVICE, ADHESIVE SKIN ATTACHMENT, EACH</t>
        </is>
      </c>
      <c r="D204" t="n">
        <v>3</v>
      </c>
      <c r="E204" t="n">
        <v>3.1</v>
      </c>
      <c r="O204">
        <f>IF(P204=H204,IF(ISBLANK(G204),"",F204&amp;" - "&amp;G204),IF(P204=K204,IF(ISBLANK(J204),"",I204&amp;" - "&amp;J204),IF(ISBLANK(M204),"",L204&amp;" - "&amp;M204)))</f>
        <v/>
      </c>
      <c r="P204">
        <f>MIN(H204,K204,N204)</f>
        <v/>
      </c>
      <c r="Q204">
        <f>D204*P204</f>
        <v/>
      </c>
      <c r="R204">
        <f>IF(ISBLANK(E204),0,D204*E204)</f>
        <v/>
      </c>
      <c r="S204">
        <f>IF(R204=0,0,(R204-Q204)/R204)</f>
        <v/>
      </c>
      <c r="T204" t="n">
        <v>60</v>
      </c>
      <c r="U204" t="inlineStr">
        <is>
          <t>LAUNCH_INVENTORY</t>
        </is>
      </c>
    </row>
    <row r="205">
      <c r="A205" t="inlineStr">
        <is>
          <t>A4332</t>
        </is>
      </c>
      <c r="B205" t="inlineStr">
        <is>
          <t>PD09</t>
        </is>
      </c>
      <c r="C205" t="inlineStr">
        <is>
          <t>LUBRICANT, INDIVIDUAL STERILE PACKET, EACH</t>
        </is>
      </c>
      <c r="D205" t="n">
        <v>3</v>
      </c>
      <c r="E205" t="n">
        <v>0.15</v>
      </c>
      <c r="O205">
        <f>IF(P205=H205,IF(ISBLANK(G205),"",F205&amp;" - "&amp;G205),IF(P205=K205,IF(ISBLANK(J205),"",I205&amp;" - "&amp;J205),IF(ISBLANK(M205),"",L205&amp;" - "&amp;M205)))</f>
        <v/>
      </c>
      <c r="P205">
        <f>MIN(H205,K205,N205)</f>
        <v/>
      </c>
      <c r="Q205">
        <f>D205*P205</f>
        <v/>
      </c>
      <c r="R205">
        <f>IF(ISBLANK(E205),0,D205*E205)</f>
        <v/>
      </c>
      <c r="S205">
        <f>IF(R205=0,0,(R205-Q205)/R205)</f>
        <v/>
      </c>
      <c r="T205" t="n">
        <v>60</v>
      </c>
      <c r="U205" t="inlineStr">
        <is>
          <t>LAUNCH_INVENTORY</t>
        </is>
      </c>
    </row>
    <row r="206">
      <c r="A206" t="inlineStr">
        <is>
          <t>A4456</t>
        </is>
      </c>
      <c r="B206" t="inlineStr">
        <is>
          <t>PD09</t>
        </is>
      </c>
      <c r="C206" t="inlineStr">
        <is>
          <t>ADHESIVE REMOVER, WIPES, ANY TYPE, EACH</t>
        </is>
      </c>
      <c r="D206" t="n">
        <v>3</v>
      </c>
      <c r="E206" t="n">
        <v>0.34</v>
      </c>
      <c r="O206">
        <f>IF(P206=H206,IF(ISBLANK(G206),"",F206&amp;" - "&amp;G206),IF(P206=K206,IF(ISBLANK(J206),"",I206&amp;" - "&amp;J206),IF(ISBLANK(M206),"",L206&amp;" - "&amp;M206)))</f>
        <v/>
      </c>
      <c r="P206">
        <f>MIN(H206,K206,N206)</f>
        <v/>
      </c>
      <c r="Q206">
        <f>D206*P206</f>
        <v/>
      </c>
      <c r="R206">
        <f>IF(ISBLANK(E206),0,D206*E206)</f>
        <v/>
      </c>
      <c r="S206">
        <f>IF(R206=0,0,(R206-Q206)/R206)</f>
        <v/>
      </c>
      <c r="T206" t="n">
        <v>60</v>
      </c>
      <c r="U206" t="inlineStr">
        <is>
          <t>LAUNCH_INVENTORY</t>
        </is>
      </c>
    </row>
    <row r="207">
      <c r="A207" t="inlineStr">
        <is>
          <t>E0990</t>
        </is>
      </c>
      <c r="B207" t="inlineStr">
        <is>
          <t>M06A</t>
        </is>
      </c>
      <c r="C207" t="inlineStr">
        <is>
          <t>WHEELCHAIR ACCESSORY, ELEVATING LEG REST, COMPLETE ASSEMBLY, EACH</t>
        </is>
      </c>
      <c r="D207" t="n">
        <v>3</v>
      </c>
      <c r="E207" t="n">
        <v>70.34</v>
      </c>
      <c r="O207">
        <f>IF(P207=H207,IF(ISBLANK(G207),"",F207&amp;" - "&amp;G207),IF(P207=K207,IF(ISBLANK(J207),"",I207&amp;" - "&amp;J207),IF(ISBLANK(M207),"",L207&amp;" - "&amp;M207)))</f>
        <v/>
      </c>
      <c r="P207">
        <f>MIN(H207,K207,N207)</f>
        <v/>
      </c>
      <c r="Q207">
        <f>D207*P207</f>
        <v/>
      </c>
      <c r="R207">
        <f>IF(ISBLANK(E207),0,D207*E207)</f>
        <v/>
      </c>
      <c r="S207">
        <f>IF(R207=0,0,(R207-Q207)/R207)</f>
        <v/>
      </c>
      <c r="T207" t="n">
        <v>60</v>
      </c>
      <c r="U207" t="inlineStr">
        <is>
          <t>LAUNCH_INVENTORY</t>
        </is>
      </c>
    </row>
    <row r="208">
      <c r="A208" t="inlineStr">
        <is>
          <t>E2207</t>
        </is>
      </c>
      <c r="B208" t="inlineStr">
        <is>
          <t>M06A</t>
        </is>
      </c>
      <c r="C208" t="inlineStr">
        <is>
          <t>WHEELCHAIR ACCESSORY, CRUTCH AND CANE HOLDER, EACH</t>
        </is>
      </c>
      <c r="D208" t="n">
        <v>3</v>
      </c>
      <c r="E208" t="n">
        <v>48.71</v>
      </c>
      <c r="O208">
        <f>IF(P208=H208,IF(ISBLANK(G208),"",F208&amp;" - "&amp;G208),IF(P208=K208,IF(ISBLANK(J208),"",I208&amp;" - "&amp;J208),IF(ISBLANK(M208),"",L208&amp;" - "&amp;M208)))</f>
        <v/>
      </c>
      <c r="P208">
        <f>MIN(H208,K208,N208)</f>
        <v/>
      </c>
      <c r="Q208">
        <f>D208*P208</f>
        <v/>
      </c>
      <c r="R208">
        <f>IF(ISBLANK(E208),0,D208*E208)</f>
        <v/>
      </c>
      <c r="S208">
        <f>IF(R208=0,0,(R208-Q208)/R208)</f>
        <v/>
      </c>
      <c r="T208" t="n">
        <v>60</v>
      </c>
      <c r="U208" t="inlineStr">
        <is>
          <t>LAUNCH_INVENTORY</t>
        </is>
      </c>
    </row>
    <row r="209">
      <c r="A209" t="inlineStr">
        <is>
          <t>E2208</t>
        </is>
      </c>
      <c r="B209" t="inlineStr">
        <is>
          <t>M06A</t>
        </is>
      </c>
      <c r="C209" t="inlineStr">
        <is>
          <t>WHEELCHAIR ACCESSORY, CYLINDER TANK CARRIER, EACH</t>
        </is>
      </c>
      <c r="D209" t="n">
        <v>3</v>
      </c>
      <c r="E209" t="n">
        <v>72.44</v>
      </c>
      <c r="O209">
        <f>IF(P209=H209,IF(ISBLANK(G209),"",F209&amp;" - "&amp;G209),IF(P209=K209,IF(ISBLANK(J209),"",I209&amp;" - "&amp;J209),IF(ISBLANK(M209),"",L209&amp;" - "&amp;M209)))</f>
        <v/>
      </c>
      <c r="P209">
        <f>MIN(H209,K209,N209)</f>
        <v/>
      </c>
      <c r="Q209">
        <f>D209*P209</f>
        <v/>
      </c>
      <c r="R209">
        <f>IF(ISBLANK(E209),0,D209*E209)</f>
        <v/>
      </c>
      <c r="S209">
        <f>IF(R209=0,0,(R209-Q209)/R209)</f>
        <v/>
      </c>
      <c r="T209" t="n">
        <v>60</v>
      </c>
      <c r="U209" t="inlineStr">
        <is>
          <t>LAUNCH_INVENTORY</t>
        </is>
      </c>
    </row>
    <row r="210">
      <c r="A210" t="inlineStr">
        <is>
          <t>E2209</t>
        </is>
      </c>
      <c r="B210" t="inlineStr">
        <is>
          <t>M06A</t>
        </is>
      </c>
      <c r="C210" t="inlineStr">
        <is>
          <t>ACCESSORY, ARM TROUGH, WITH OR WITHOUT HAND SUPPORT, EACH</t>
        </is>
      </c>
      <c r="D210" t="n">
        <v>3</v>
      </c>
      <c r="E210" t="n">
        <v>85.5</v>
      </c>
      <c r="O210">
        <f>IF(P210=H210,IF(ISBLANK(G210),"",F210&amp;" - "&amp;G210),IF(P210=K210,IF(ISBLANK(J210),"",I210&amp;" - "&amp;J210),IF(ISBLANK(M210),"",L210&amp;" - "&amp;M210)))</f>
        <v/>
      </c>
      <c r="P210">
        <f>MIN(H210,K210,N210)</f>
        <v/>
      </c>
      <c r="Q210">
        <f>D210*P210</f>
        <v/>
      </c>
      <c r="R210">
        <f>IF(ISBLANK(E210),0,D210*E210)</f>
        <v/>
      </c>
      <c r="S210">
        <f>IF(R210=0,0,(R210-Q210)/R210)</f>
        <v/>
      </c>
      <c r="T210" t="n">
        <v>60</v>
      </c>
      <c r="U210" t="inlineStr">
        <is>
          <t>LAUNCH_INVENTORY</t>
        </is>
      </c>
    </row>
    <row r="211">
      <c r="A211" t="inlineStr">
        <is>
          <t>E1020</t>
        </is>
      </c>
      <c r="B211" t="inlineStr">
        <is>
          <t>M06A</t>
        </is>
      </c>
      <c r="C211" t="inlineStr">
        <is>
          <t>RESIDUAL LIMB SUPPORT SYSTEM FOR WHEELCHAIR, ANY TYPE</t>
        </is>
      </c>
      <c r="D211" t="n">
        <v>3</v>
      </c>
      <c r="E211" t="n">
        <v>18.52</v>
      </c>
      <c r="O211">
        <f>IF(P211=H211,IF(ISBLANK(G211),"",F211&amp;" - "&amp;G211),IF(P211=K211,IF(ISBLANK(J211),"",I211&amp;" - "&amp;J211),IF(ISBLANK(M211),"",L211&amp;" - "&amp;M211)))</f>
        <v/>
      </c>
      <c r="P211">
        <f>MIN(H211,K211,N211)</f>
        <v/>
      </c>
      <c r="Q211">
        <f>D211*P211</f>
        <v/>
      </c>
      <c r="R211">
        <f>IF(ISBLANK(E211),0,D211*E211)</f>
        <v/>
      </c>
      <c r="S211">
        <f>IF(R211=0,0,(R211-Q211)/R211)</f>
        <v/>
      </c>
      <c r="T211" t="n">
        <v>60</v>
      </c>
      <c r="U211" t="inlineStr">
        <is>
          <t>LAUNCH_INVENTORY</t>
        </is>
      </c>
    </row>
    <row r="212">
      <c r="A212" t="inlineStr">
        <is>
          <t>E1028</t>
        </is>
      </c>
      <c r="B212" t="inlineStr">
        <is>
          <t>M06A</t>
        </is>
      </c>
      <c r="C212" t="inlineStr">
        <is>
          <t>WHEELCHAIR ACCESSORY, MANUAL SWINGAWAY, RETRACTABLE OR REMOVABLE MOUNTING HARDWARE, OTHER</t>
        </is>
      </c>
      <c r="D212" t="n">
        <v>3</v>
      </c>
      <c r="E212" t="n">
        <v>14.82</v>
      </c>
      <c r="O212">
        <f>IF(P212=H212,IF(ISBLANK(G212),"",F212&amp;" - "&amp;G212),IF(P212=K212,IF(ISBLANK(J212),"",I212&amp;" - "&amp;J212),IF(ISBLANK(M212),"",L212&amp;" - "&amp;M212)))</f>
        <v/>
      </c>
      <c r="P212">
        <f>MIN(H212,K212,N212)</f>
        <v/>
      </c>
      <c r="Q212">
        <f>D212*P212</f>
        <v/>
      </c>
      <c r="R212">
        <f>IF(ISBLANK(E212),0,D212*E212)</f>
        <v/>
      </c>
      <c r="S212">
        <f>IF(R212=0,0,(R212-Q212)/R212)</f>
        <v/>
      </c>
      <c r="T212" t="n">
        <v>60</v>
      </c>
      <c r="U212" t="inlineStr">
        <is>
          <t>LAUNCH_INVENTORY</t>
        </is>
      </c>
    </row>
    <row r="213">
      <c r="A213" t="inlineStr">
        <is>
          <t>K0072</t>
        </is>
      </c>
      <c r="B213" t="inlineStr">
        <is>
          <t>M06A</t>
        </is>
      </c>
      <c r="C213" t="inlineStr">
        <is>
          <t>FRONT CASTER ASSEMBLY, COMPLETE, WITH SEMI-PNEUMATIC TIRE, REPLACEMENT ONLY, EACH</t>
        </is>
      </c>
      <c r="D213" t="n">
        <v>3</v>
      </c>
      <c r="E213" t="n">
        <v>71.2</v>
      </c>
      <c r="O213">
        <f>IF(P213=H213,IF(ISBLANK(G213),"",F213&amp;" - "&amp;G213),IF(P213=K213,IF(ISBLANK(J213),"",I213&amp;" - "&amp;J213),IF(ISBLANK(M213),"",L213&amp;" - "&amp;M213)))</f>
        <v/>
      </c>
      <c r="P213">
        <f>MIN(H213,K213,N213)</f>
        <v/>
      </c>
      <c r="Q213">
        <f>D213*P213</f>
        <v/>
      </c>
      <c r="R213">
        <f>IF(ISBLANK(E213),0,D213*E213)</f>
        <v/>
      </c>
      <c r="S213">
        <f>IF(R213=0,0,(R213-Q213)/R213)</f>
        <v/>
      </c>
      <c r="T213" t="n">
        <v>60</v>
      </c>
      <c r="U213" t="inlineStr">
        <is>
          <t>LAUNCH_INVENTORY</t>
        </is>
      </c>
    </row>
    <row r="214">
      <c r="A214" t="inlineStr">
        <is>
          <t>E0570</t>
        </is>
      </c>
      <c r="B214" t="inlineStr">
        <is>
          <t>R07</t>
        </is>
      </c>
      <c r="C214" t="inlineStr">
        <is>
          <t>NEBULIZER, WITH COMPRESSOR</t>
        </is>
      </c>
      <c r="D214" t="n">
        <v>6</v>
      </c>
      <c r="E214" t="n">
        <v>5.53</v>
      </c>
      <c r="O214">
        <f>IF(P214=H214,IF(ISBLANK(G214),"",F214&amp;" - "&amp;G214),IF(P214=K214,IF(ISBLANK(J214),"",I214&amp;" - "&amp;J214),IF(ISBLANK(M214),"",L214&amp;" - "&amp;M214)))</f>
        <v/>
      </c>
      <c r="P214">
        <f>MIN(H214,K214,N214)</f>
        <v/>
      </c>
      <c r="Q214">
        <f>D214*P214</f>
        <v/>
      </c>
      <c r="R214">
        <f>IF(ISBLANK(E214),0,D214*E214)</f>
        <v/>
      </c>
      <c r="S214">
        <f>IF(R214=0,0,(R214-Q214)/R214)</f>
        <v/>
      </c>
      <c r="T214" t="n">
        <v>60</v>
      </c>
      <c r="U214" t="inlineStr">
        <is>
          <t>CUSTOMER</t>
        </is>
      </c>
      <c r="V214" t="inlineStr">
        <is>
          <t>RAMBOM</t>
        </is>
      </c>
    </row>
    <row r="215">
      <c r="A215" t="inlineStr">
        <is>
          <t>K0052</t>
        </is>
      </c>
      <c r="B215" t="inlineStr">
        <is>
          <t>M06A</t>
        </is>
      </c>
      <c r="C215" t="inlineStr">
        <is>
          <t>SWINGAWAY, DETACHABLE FOOTRESTS, REPLACEMENT ONLY, EACH</t>
        </is>
      </c>
      <c r="D215" t="n">
        <v>3</v>
      </c>
      <c r="E215" t="n">
        <v>71.2</v>
      </c>
      <c r="O215">
        <f>IF(P215=H215,IF(ISBLANK(G215),"",F215&amp;" - "&amp;G215),IF(P215=K215,IF(ISBLANK(J215),"",I215&amp;" - "&amp;J215),IF(ISBLANK(M215),"",L215&amp;" - "&amp;M215)))</f>
        <v/>
      </c>
      <c r="P215">
        <f>MIN(H215,K215,N215)</f>
        <v/>
      </c>
      <c r="Q215">
        <f>D215*P215</f>
        <v/>
      </c>
      <c r="R215">
        <f>IF(ISBLANK(E215),0,D215*E215)</f>
        <v/>
      </c>
      <c r="S215">
        <f>IF(R215=0,0,(R215-Q215)/R215)</f>
        <v/>
      </c>
      <c r="T215" t="n">
        <v>60</v>
      </c>
      <c r="U215" t="inlineStr">
        <is>
          <t>LAUNCH_INVENTORY</t>
        </is>
      </c>
    </row>
    <row r="216">
      <c r="A216" t="inlineStr">
        <is>
          <t>A6247</t>
        </is>
      </c>
      <c r="B216" t="inlineStr">
        <is>
          <t>S01</t>
        </is>
      </c>
      <c r="C216" t="inlineStr">
        <is>
          <t>HYDROGEL DRESSING, WOUND COVER, STERILE, PAD SIZE MORE THAN 48 SQ. IN., WITH ANY SIZE ADHESIVE BORDER, EACH DRESSING</t>
        </is>
      </c>
      <c r="D216" t="n">
        <v>3</v>
      </c>
      <c r="E216" t="n">
        <v>33.23</v>
      </c>
      <c r="O216">
        <f>IF(P216=H216,IF(ISBLANK(G216),"",F216&amp;" - "&amp;G216),IF(P216=K216,IF(ISBLANK(J216),"",I216&amp;" - "&amp;J216),IF(ISBLANK(M216),"",L216&amp;" - "&amp;M216)))</f>
        <v/>
      </c>
      <c r="P216">
        <f>MIN(H216,K216,N216)</f>
        <v/>
      </c>
      <c r="Q216">
        <f>D216*P216</f>
        <v/>
      </c>
      <c r="R216">
        <f>IF(ISBLANK(E216),0,D216*E216)</f>
        <v/>
      </c>
      <c r="S216">
        <f>IF(R216=0,0,(R216-Q216)/R216)</f>
        <v/>
      </c>
      <c r="T216" t="n">
        <v>60</v>
      </c>
      <c r="U216" t="inlineStr">
        <is>
          <t>LAUNCH_INVENTORY</t>
        </is>
      </c>
    </row>
    <row r="217">
      <c r="A217" t="inlineStr">
        <is>
          <t>A6266</t>
        </is>
      </c>
      <c r="B217" t="inlineStr">
        <is>
          <t>S01</t>
        </is>
      </c>
      <c r="C217" t="inlineStr">
        <is>
          <t>GAUZE, IMPREGNATED, OTHER THAN WATER, NORMAL SALINE, OR ZINC PASTE, STERILE, ANY WIDTH, PER LINEAR YARD</t>
        </is>
      </c>
      <c r="D217" t="n">
        <v>3</v>
      </c>
      <c r="E217" t="n">
        <v>2.67</v>
      </c>
      <c r="O217">
        <f>IF(P217=H217,IF(ISBLANK(G217),"",F217&amp;" - "&amp;G217),IF(P217=K217,IF(ISBLANK(J217),"",I217&amp;" - "&amp;J217),IF(ISBLANK(M217),"",L217&amp;" - "&amp;M217)))</f>
        <v/>
      </c>
      <c r="P217">
        <f>MIN(H217,K217,N217)</f>
        <v/>
      </c>
      <c r="Q217">
        <f>D217*P217</f>
        <v/>
      </c>
      <c r="R217">
        <f>IF(ISBLANK(E217),0,D217*E217)</f>
        <v/>
      </c>
      <c r="S217">
        <f>IF(R217=0,0,(R217-Q217)/R217)</f>
        <v/>
      </c>
      <c r="T217" t="n">
        <v>60</v>
      </c>
      <c r="U217" t="inlineStr">
        <is>
          <t>LAUNCH_INVENTORY</t>
        </is>
      </c>
    </row>
    <row r="218">
      <c r="A218" t="inlineStr">
        <is>
          <t>A6536</t>
        </is>
      </c>
      <c r="B218" t="inlineStr">
        <is>
          <t>S01</t>
        </is>
      </c>
      <c r="C218" t="inlineStr">
        <is>
          <t>GRADIENT COMPRESSION STOCKING, FULL LENGTH/CHAP STYLE, 18-30 MMHG, EACH</t>
        </is>
      </c>
      <c r="D218" t="n">
        <v>3</v>
      </c>
      <c r="E218" t="n">
        <v>72.01000000000001</v>
      </c>
      <c r="O218">
        <f>IF(P218=H218,IF(ISBLANK(G218),"",F218&amp;" - "&amp;G218),IF(P218=K218,IF(ISBLANK(J218),"",I218&amp;" - "&amp;J218),IF(ISBLANK(M218),"",L218&amp;" - "&amp;M218)))</f>
        <v/>
      </c>
      <c r="P218">
        <f>MIN(H218,K218,N218)</f>
        <v/>
      </c>
      <c r="Q218">
        <f>D218*P218</f>
        <v/>
      </c>
      <c r="R218">
        <f>IF(ISBLANK(E218),0,D218*E218)</f>
        <v/>
      </c>
      <c r="S218">
        <f>IF(R218=0,0,(R218-Q218)/R218)</f>
        <v/>
      </c>
      <c r="T218" t="n">
        <v>60</v>
      </c>
      <c r="U218" t="inlineStr">
        <is>
          <t>LAUNCH_INVENTORY</t>
        </is>
      </c>
    </row>
    <row r="219">
      <c r="A219" t="inlineStr">
        <is>
          <t>A4554</t>
        </is>
      </c>
      <c r="B219" t="inlineStr">
        <is>
          <t>PD09</t>
        </is>
      </c>
      <c r="C219" t="inlineStr">
        <is>
          <t>DISPOSABLE UNDERPADS, ALL SIZES</t>
        </is>
      </c>
      <c r="D219" t="n">
        <v>2000</v>
      </c>
      <c r="O219">
        <f>IF(P219=H219,IF(ISBLANK(G219),"",F219&amp;" - "&amp;G219),IF(P219=K219,IF(ISBLANK(J219),"",I219&amp;" - "&amp;J219),IF(ISBLANK(M219),"",L219&amp;" - "&amp;M219)))</f>
        <v/>
      </c>
      <c r="P219">
        <f>MIN(H219,K219,N219)</f>
        <v/>
      </c>
      <c r="Q219">
        <f>D219*P219</f>
        <v/>
      </c>
      <c r="R219">
        <f>IF(ISBLANK(E219),0,D219*E219)</f>
        <v/>
      </c>
      <c r="S219">
        <f>IF(R219=0,0,(R219-Q219)/R219)</f>
        <v/>
      </c>
      <c r="T219" t="n">
        <v>60</v>
      </c>
      <c r="U219" t="inlineStr">
        <is>
          <t>CUSTOMER</t>
        </is>
      </c>
      <c r="V219" t="inlineStr">
        <is>
          <t>WALTERS</t>
        </is>
      </c>
    </row>
    <row r="220">
      <c r="A220" t="inlineStr">
        <is>
          <t>A4520</t>
        </is>
      </c>
      <c r="B220" t="inlineStr">
        <is>
          <t>PD09</t>
        </is>
      </c>
      <c r="C220" t="inlineStr">
        <is>
          <t>INCONTINENCE GARMENT, ANY TYPE, (E.G., BRIEF, DIAPER), EACH</t>
        </is>
      </c>
      <c r="D220" t="n">
        <v>3000</v>
      </c>
      <c r="O220">
        <f>IF(P220=H220,IF(ISBLANK(G220),"",F220&amp;" - "&amp;G220),IF(P220=K220,IF(ISBLANK(J220),"",I220&amp;" - "&amp;J220),IF(ISBLANK(M220),"",L220&amp;" - "&amp;M220)))</f>
        <v/>
      </c>
      <c r="P220">
        <f>MIN(H220,K220,N220)</f>
        <v/>
      </c>
      <c r="Q220">
        <f>D220*P220</f>
        <v/>
      </c>
      <c r="R220">
        <f>IF(ISBLANK(E220),0,D220*E220)</f>
        <v/>
      </c>
      <c r="S220">
        <f>IF(R220=0,0,(R220-Q220)/R220)</f>
        <v/>
      </c>
      <c r="T220" t="n">
        <v>60</v>
      </c>
      <c r="U220" t="inlineStr">
        <is>
          <t>CUSTOMER</t>
        </is>
      </c>
      <c r="V220" t="inlineStr">
        <is>
          <t>WALTERS</t>
        </is>
      </c>
    </row>
    <row r="221">
      <c r="A221" t="inlineStr">
        <is>
          <t>E1029</t>
        </is>
      </c>
      <c r="B221" t="inlineStr">
        <is>
          <t>M06A</t>
        </is>
      </c>
      <c r="C221" t="inlineStr">
        <is>
          <t>WHEELCHAIR ACCESSORY, VENTILATOR TRAY, FIXED</t>
        </is>
      </c>
      <c r="D221" t="n">
        <v>3</v>
      </c>
      <c r="E221" t="n">
        <v>44.49</v>
      </c>
      <c r="O221">
        <f>IF(P221=H221,IF(ISBLANK(G221),"",F221&amp;" - "&amp;G221),IF(P221=K221,IF(ISBLANK(J221),"",I221&amp;" - "&amp;J221),IF(ISBLANK(M221),"",L221&amp;" - "&amp;M221)))</f>
        <v/>
      </c>
      <c r="P221">
        <f>MIN(H221,K221,N221)</f>
        <v/>
      </c>
      <c r="Q221">
        <f>D221*P221</f>
        <v/>
      </c>
      <c r="R221">
        <f>IF(ISBLANK(E221),0,D221*E221)</f>
        <v/>
      </c>
      <c r="S221">
        <f>IF(R221=0,0,(R221-Q221)/R221)</f>
        <v/>
      </c>
      <c r="T221" t="n">
        <v>60</v>
      </c>
      <c r="U221" t="inlineStr">
        <is>
          <t>LAUNCH_INVENTORY</t>
        </is>
      </c>
    </row>
    <row r="222">
      <c r="A222" t="inlineStr">
        <is>
          <t>K0077</t>
        </is>
      </c>
      <c r="B222" t="inlineStr">
        <is>
          <t>M06A</t>
        </is>
      </c>
      <c r="C222" t="inlineStr">
        <is>
          <t>FRONT CASTER ASSEMBLY, COMPLETE, WITH SOLID TIRE, REPLACEMENT ONLY, EACH</t>
        </is>
      </c>
      <c r="D222" t="n">
        <v>3</v>
      </c>
      <c r="E222" t="n">
        <v>50.81</v>
      </c>
      <c r="O222">
        <f>IF(P222=H222,IF(ISBLANK(G222),"",F222&amp;" - "&amp;G222),IF(P222=K222,IF(ISBLANK(J222),"",I222&amp;" - "&amp;J222),IF(ISBLANK(M222),"",L222&amp;" - "&amp;M222)))</f>
        <v/>
      </c>
      <c r="P222">
        <f>MIN(H222,K222,N222)</f>
        <v/>
      </c>
      <c r="Q222">
        <f>D222*P222</f>
        <v/>
      </c>
      <c r="R222">
        <f>IF(ISBLANK(E222),0,D222*E222)</f>
        <v/>
      </c>
      <c r="S222">
        <f>IF(R222=0,0,(R222-Q222)/R222)</f>
        <v/>
      </c>
      <c r="T222" t="n">
        <v>60</v>
      </c>
      <c r="U222" t="inlineStr">
        <is>
          <t>LAUNCH_INVENTORY</t>
        </is>
      </c>
    </row>
    <row r="223">
      <c r="A223" t="inlineStr">
        <is>
          <t>K0105</t>
        </is>
      </c>
      <c r="B223" t="inlineStr">
        <is>
          <t>M06A</t>
        </is>
      </c>
      <c r="C223" t="inlineStr">
        <is>
          <t>IV HANGER, EACH</t>
        </is>
      </c>
      <c r="D223" t="n">
        <v>3</v>
      </c>
      <c r="E223" t="n">
        <v>103.67</v>
      </c>
      <c r="O223">
        <f>IF(P223=H223,IF(ISBLANK(G223),"",F223&amp;" - "&amp;G223),IF(P223=K223,IF(ISBLANK(J223),"",I223&amp;" - "&amp;J223),IF(ISBLANK(M223),"",L223&amp;" - "&amp;M223)))</f>
        <v/>
      </c>
      <c r="P223">
        <f>MIN(H223,K223,N223)</f>
        <v/>
      </c>
      <c r="Q223">
        <f>D223*P223</f>
        <v/>
      </c>
      <c r="R223">
        <f>IF(ISBLANK(E223),0,D223*E223)</f>
        <v/>
      </c>
      <c r="S223">
        <f>IF(R223=0,0,(R223-Q223)/R223)</f>
        <v/>
      </c>
      <c r="T223" t="n">
        <v>60</v>
      </c>
      <c r="U223" t="inlineStr">
        <is>
          <t>LAUNCH_INVENTORY</t>
        </is>
      </c>
    </row>
    <row r="224">
      <c r="A224" t="inlineStr">
        <is>
          <t>K0047</t>
        </is>
      </c>
      <c r="B224" t="inlineStr">
        <is>
          <t>M06A</t>
        </is>
      </c>
      <c r="C224" t="inlineStr">
        <is>
          <t>ELEVATING LEGREST, UPPER HANGER BRACKET, REPLACEMENT ONLY, EACH</t>
        </is>
      </c>
      <c r="D224" t="n">
        <v>3</v>
      </c>
      <c r="E224" t="n">
        <v>83.09</v>
      </c>
      <c r="O224">
        <f>IF(P224=H224,IF(ISBLANK(G224),"",F224&amp;" - "&amp;G224),IF(P224=K224,IF(ISBLANK(J224),"",I224&amp;" - "&amp;J224),IF(ISBLANK(M224),"",L224&amp;" - "&amp;M224)))</f>
        <v/>
      </c>
      <c r="P224">
        <f>MIN(H224,K224,N224)</f>
        <v/>
      </c>
      <c r="Q224">
        <f>D224*P224</f>
        <v/>
      </c>
      <c r="R224">
        <f>IF(ISBLANK(E224),0,D224*E224)</f>
        <v/>
      </c>
      <c r="S224">
        <f>IF(R224=0,0,(R224-Q224)/R224)</f>
        <v/>
      </c>
      <c r="T224" t="n">
        <v>60</v>
      </c>
      <c r="U224" t="inlineStr">
        <is>
          <t>LAUNCH_INVENTORY</t>
        </is>
      </c>
    </row>
    <row r="225">
      <c r="A225" t="inlineStr">
        <is>
          <t>K0046</t>
        </is>
      </c>
      <c r="B225" t="inlineStr">
        <is>
          <t>M06A</t>
        </is>
      </c>
      <c r="C225" t="inlineStr">
        <is>
          <t>ELEVATING LEGREST, LOWER EXTENSION TUBE, REPLACEMENT ONLY, EACH</t>
        </is>
      </c>
      <c r="D225" t="n">
        <v>3</v>
      </c>
      <c r="E225" t="n">
        <v>23.5</v>
      </c>
      <c r="O225">
        <f>IF(P225=H225,IF(ISBLANK(G225),"",F225&amp;" - "&amp;G225),IF(P225=K225,IF(ISBLANK(J225),"",I225&amp;" - "&amp;J225),IF(ISBLANK(M225),"",L225&amp;" - "&amp;M225)))</f>
        <v/>
      </c>
      <c r="P225">
        <f>MIN(H225,K225,N225)</f>
        <v/>
      </c>
      <c r="Q225">
        <f>D225*P225</f>
        <v/>
      </c>
      <c r="R225">
        <f>IF(ISBLANK(E225),0,D225*E225)</f>
        <v/>
      </c>
      <c r="S225">
        <f>IF(R225=0,0,(R225-Q225)/R225)</f>
        <v/>
      </c>
      <c r="T225" t="n">
        <v>60</v>
      </c>
      <c r="U225" t="inlineStr">
        <is>
          <t>LAUNCH_INVENTORY</t>
        </is>
      </c>
    </row>
    <row r="226">
      <c r="A226" t="inlineStr">
        <is>
          <t>E2210</t>
        </is>
      </c>
      <c r="B226" t="inlineStr">
        <is>
          <t>M06A</t>
        </is>
      </c>
      <c r="C226" t="inlineStr">
        <is>
          <t>WHEELCHAIR ACCESSORY, BEARINGS, ANY TYPE, REPLACEMENT ONLY, EACH</t>
        </is>
      </c>
      <c r="D226" t="n">
        <v>3</v>
      </c>
      <c r="E226" t="n">
        <v>5.12</v>
      </c>
      <c r="O226">
        <f>IF(P226=H226,IF(ISBLANK(G226),"",F226&amp;" - "&amp;G226),IF(P226=K226,IF(ISBLANK(J226),"",I226&amp;" - "&amp;J226),IF(ISBLANK(M226),"",L226&amp;" - "&amp;M226)))</f>
        <v/>
      </c>
      <c r="P226">
        <f>MIN(H226,K226,N226)</f>
        <v/>
      </c>
      <c r="Q226">
        <f>D226*P226</f>
        <v/>
      </c>
      <c r="R226">
        <f>IF(ISBLANK(E226),0,D226*E226)</f>
        <v/>
      </c>
      <c r="S226">
        <f>IF(R226=0,0,(R226-Q226)/R226)</f>
        <v/>
      </c>
      <c r="T226" t="n">
        <v>60</v>
      </c>
      <c r="U226" t="inlineStr">
        <is>
          <t>LAUNCH_INVENTORY</t>
        </is>
      </c>
    </row>
    <row r="227">
      <c r="A227" t="inlineStr">
        <is>
          <t>E2217</t>
        </is>
      </c>
      <c r="B227" t="inlineStr">
        <is>
          <t>M06A</t>
        </is>
      </c>
      <c r="C227" t="inlineStr">
        <is>
          <t>MANUAL WHEELCHAIR ACCESSORY, FOAM FILLED CASTER TIRE, ANY SIZE, EACH</t>
        </is>
      </c>
      <c r="D227" t="n">
        <v>3</v>
      </c>
      <c r="E227" t="n">
        <v>45.13</v>
      </c>
      <c r="O227">
        <f>IF(P227=H227,IF(ISBLANK(G227),"",F227&amp;" - "&amp;G227),IF(P227=K227,IF(ISBLANK(J227),"",I227&amp;" - "&amp;J227),IF(ISBLANK(M227),"",L227&amp;" - "&amp;M227)))</f>
        <v/>
      </c>
      <c r="P227">
        <f>MIN(H227,K227,N227)</f>
        <v/>
      </c>
      <c r="Q227">
        <f>D227*P227</f>
        <v/>
      </c>
      <c r="R227">
        <f>IF(ISBLANK(E227),0,D227*E227)</f>
        <v/>
      </c>
      <c r="S227">
        <f>IF(R227=0,0,(R227-Q227)/R227)</f>
        <v/>
      </c>
      <c r="T227" t="n">
        <v>60</v>
      </c>
      <c r="U227" t="inlineStr">
        <is>
          <t>LAUNCH_INVENTORY</t>
        </is>
      </c>
    </row>
    <row r="228">
      <c r="A228" t="inlineStr">
        <is>
          <t>E2218</t>
        </is>
      </c>
      <c r="B228" t="inlineStr">
        <is>
          <t>M06A</t>
        </is>
      </c>
      <c r="C228" t="inlineStr">
        <is>
          <t>MANUAL WHEELCHAIR ACCESSORY, FOAM PROPULSION TIRE, ANY SIZE, EACH</t>
        </is>
      </c>
      <c r="D228" t="n">
        <v>3</v>
      </c>
      <c r="E228" t="n">
        <v>51</v>
      </c>
      <c r="O228">
        <f>IF(P228=H228,IF(ISBLANK(G228),"",F228&amp;" - "&amp;G228),IF(P228=K228,IF(ISBLANK(J228),"",I228&amp;" - "&amp;J228),IF(ISBLANK(M228),"",L228&amp;" - "&amp;M228)))</f>
        <v/>
      </c>
      <c r="P228">
        <f>MIN(H228,K228,N228)</f>
        <v/>
      </c>
      <c r="Q228">
        <f>D228*P228</f>
        <v/>
      </c>
      <c r="R228">
        <f>IF(ISBLANK(E228),0,D228*E228)</f>
        <v/>
      </c>
      <c r="S228">
        <f>IF(R228=0,0,(R228-Q228)/R228)</f>
        <v/>
      </c>
      <c r="T228" t="n">
        <v>60</v>
      </c>
      <c r="U228" t="inlineStr">
        <is>
          <t>LAUNCH_INVENTORY</t>
        </is>
      </c>
    </row>
    <row r="229">
      <c r="A229" t="inlineStr">
        <is>
          <t>E1030</t>
        </is>
      </c>
      <c r="B229" t="inlineStr">
        <is>
          <t>M06A</t>
        </is>
      </c>
      <c r="C229" t="inlineStr">
        <is>
          <t>WHEELCHAIR ACCESSORY, VENTILATOR TRAY, GIMBALED</t>
        </is>
      </c>
      <c r="D229" t="n">
        <v>3</v>
      </c>
      <c r="E229" t="n">
        <v>140.33</v>
      </c>
      <c r="O229">
        <f>IF(P229=H229,IF(ISBLANK(G229),"",F229&amp;" - "&amp;G229),IF(P229=K229,IF(ISBLANK(J229),"",I229&amp;" - "&amp;J229),IF(ISBLANK(M229),"",L229&amp;" - "&amp;M229)))</f>
        <v/>
      </c>
      <c r="P229">
        <f>MIN(H229,K229,N229)</f>
        <v/>
      </c>
      <c r="Q229">
        <f>D229*P229</f>
        <v/>
      </c>
      <c r="R229">
        <f>IF(ISBLANK(E229),0,D229*E229)</f>
        <v/>
      </c>
      <c r="S229">
        <f>IF(R229=0,0,(R229-Q229)/R229)</f>
        <v/>
      </c>
      <c r="T229" t="n">
        <v>60</v>
      </c>
      <c r="U229" t="inlineStr">
        <is>
          <t>LAUNCH_INVENTORY</t>
        </is>
      </c>
    </row>
    <row r="230">
      <c r="A230" t="inlineStr">
        <is>
          <t>A6203</t>
        </is>
      </c>
      <c r="B230" t="inlineStr">
        <is>
          <t>S01</t>
        </is>
      </c>
      <c r="C230" t="inlineStr">
        <is>
          <t>COMPOSITE DRESSING, STERILE, PAD SIZE 16 SQ. IN. OR LESS, WITH ANY SIZE ADHESIVE BORDER, EACH DRESSING</t>
        </is>
      </c>
      <c r="D230" t="n">
        <v>3</v>
      </c>
      <c r="E230" t="n">
        <v>4.71</v>
      </c>
      <c r="O230">
        <f>IF(P230=H230,IF(ISBLANK(G230),"",F230&amp;" - "&amp;G230),IF(P230=K230,IF(ISBLANK(J230),"",I230&amp;" - "&amp;J230),IF(ISBLANK(M230),"",L230&amp;" - "&amp;M230)))</f>
        <v/>
      </c>
      <c r="P230">
        <f>MIN(H230,K230,N230)</f>
        <v/>
      </c>
      <c r="Q230">
        <f>D230*P230</f>
        <v/>
      </c>
      <c r="R230">
        <f>IF(ISBLANK(E230),0,D230*E230)</f>
        <v/>
      </c>
      <c r="S230">
        <f>IF(R230=0,0,(R230-Q230)/R230)</f>
        <v/>
      </c>
      <c r="T230" t="n">
        <v>60</v>
      </c>
      <c r="U230" t="inlineStr">
        <is>
          <t>LAUNCH_INVENTORY</t>
        </is>
      </c>
    </row>
    <row r="231">
      <c r="A231" t="inlineStr">
        <is>
          <t>A6447</t>
        </is>
      </c>
      <c r="B231" t="inlineStr">
        <is>
          <t>S01</t>
        </is>
      </c>
      <c r="C231" t="inlineStr">
        <is>
          <t>CONFORMING BANDAGE, NON-ELASTIC, KNITTED/WOVEN, STERILE, WIDTH GREATER THAN OR EQUAL TO FIVE INCHES, PER YARD</t>
        </is>
      </c>
      <c r="D231" t="n">
        <v>3</v>
      </c>
      <c r="E231" t="n">
        <v>0.95</v>
      </c>
      <c r="O231">
        <f>IF(P231=H231,IF(ISBLANK(G231),"",F231&amp;" - "&amp;G231),IF(P231=K231,IF(ISBLANK(J231),"",I231&amp;" - "&amp;J231),IF(ISBLANK(M231),"",L231&amp;" - "&amp;M231)))</f>
        <v/>
      </c>
      <c r="P231">
        <f>MIN(H231,K231,N231)</f>
        <v/>
      </c>
      <c r="Q231">
        <f>D231*P231</f>
        <v/>
      </c>
      <c r="R231">
        <f>IF(ISBLANK(E231),0,D231*E231)</f>
        <v/>
      </c>
      <c r="S231">
        <f>IF(R231=0,0,(R231-Q231)/R231)</f>
        <v/>
      </c>
      <c r="T231" t="n">
        <v>60</v>
      </c>
      <c r="U231" t="inlineStr">
        <is>
          <t>LAUNCH_INVENTORY</t>
        </is>
      </c>
    </row>
    <row r="232">
      <c r="A232" t="inlineStr">
        <is>
          <t>A4463</t>
        </is>
      </c>
      <c r="B232" t="inlineStr">
        <is>
          <t>S01</t>
        </is>
      </c>
      <c r="C232" t="inlineStr">
        <is>
          <t>SURGICAL DRESSING HOLDER, REUSABLE, EACH</t>
        </is>
      </c>
      <c r="D232" t="n">
        <v>3</v>
      </c>
      <c r="E232" t="n">
        <v>18.6</v>
      </c>
      <c r="O232">
        <f>IF(P232=H232,IF(ISBLANK(G232),"",F232&amp;" - "&amp;G232),IF(P232=K232,IF(ISBLANK(J232),"",I232&amp;" - "&amp;J232),IF(ISBLANK(M232),"",L232&amp;" - "&amp;M232)))</f>
        <v/>
      </c>
      <c r="P232">
        <f>MIN(H232,K232,N232)</f>
        <v/>
      </c>
      <c r="Q232">
        <f>D232*P232</f>
        <v/>
      </c>
      <c r="R232">
        <f>IF(ISBLANK(E232),0,D232*E232)</f>
        <v/>
      </c>
      <c r="S232">
        <f>IF(R232=0,0,(R232-Q232)/R232)</f>
        <v/>
      </c>
      <c r="T232" t="n">
        <v>60</v>
      </c>
      <c r="U232" t="inlineStr">
        <is>
          <t>LAUNCH_INVENTORY</t>
        </is>
      </c>
    </row>
    <row r="233">
      <c r="A233" t="inlineStr">
        <is>
          <t>A4461</t>
        </is>
      </c>
      <c r="B233" t="inlineStr">
        <is>
          <t>S01</t>
        </is>
      </c>
      <c r="C233" t="inlineStr">
        <is>
          <t>SURGICAL DRESSING HOLDER, NON-REUSABLE, EACH</t>
        </is>
      </c>
      <c r="D233" t="n">
        <v>3</v>
      </c>
      <c r="E233" t="n">
        <v>4.61</v>
      </c>
      <c r="O233">
        <f>IF(P233=H233,IF(ISBLANK(G233),"",F233&amp;" - "&amp;G233),IF(P233=K233,IF(ISBLANK(J233),"",I233&amp;" - "&amp;J233),IF(ISBLANK(M233),"",L233&amp;" - "&amp;M233)))</f>
        <v/>
      </c>
      <c r="P233">
        <f>MIN(H233,K233,N233)</f>
        <v/>
      </c>
      <c r="Q233">
        <f>D233*P233</f>
        <v/>
      </c>
      <c r="R233">
        <f>IF(ISBLANK(E233),0,D233*E233)</f>
        <v/>
      </c>
      <c r="S233">
        <f>IF(R233=0,0,(R233-Q233)/R233)</f>
        <v/>
      </c>
      <c r="T233" t="n">
        <v>60</v>
      </c>
      <c r="U233" t="inlineStr">
        <is>
          <t>LAUNCH_INVENTORY</t>
        </is>
      </c>
    </row>
    <row r="234">
      <c r="A234" t="inlineStr">
        <is>
          <t>A6402</t>
        </is>
      </c>
      <c r="B234" t="inlineStr">
        <is>
          <t>S01</t>
        </is>
      </c>
      <c r="C234" t="inlineStr">
        <is>
          <t>GAUZE, NON-IMPREGNATED, STERILE, PAD SIZE 16 SQ. IN. OR LESS, WITHOUT ADHESIVE BORDER, EACH DRESSING</t>
        </is>
      </c>
      <c r="D234" t="n">
        <v>3</v>
      </c>
      <c r="E234" t="n">
        <v>0.15</v>
      </c>
      <c r="O234">
        <f>IF(P234=H234,IF(ISBLANK(G234),"",F234&amp;" - "&amp;G234),IF(P234=K234,IF(ISBLANK(J234),"",I234&amp;" - "&amp;J234),IF(ISBLANK(M234),"",L234&amp;" - "&amp;M234)))</f>
        <v/>
      </c>
      <c r="P234">
        <f>MIN(H234,K234,N234)</f>
        <v/>
      </c>
      <c r="Q234">
        <f>D234*P234</f>
        <v/>
      </c>
      <c r="R234">
        <f>IF(ISBLANK(E234),0,D234*E234)</f>
        <v/>
      </c>
      <c r="S234">
        <f>IF(R234=0,0,(R234-Q234)/R234)</f>
        <v/>
      </c>
      <c r="T234" t="n">
        <v>60</v>
      </c>
      <c r="U234" t="inlineStr">
        <is>
          <t>LAUNCH_INVENTORY</t>
        </is>
      </c>
    </row>
    <row r="235">
      <c r="A235" t="inlineStr">
        <is>
          <t>A6448</t>
        </is>
      </c>
      <c r="B235" t="inlineStr">
        <is>
          <t>S01</t>
        </is>
      </c>
      <c r="C235" t="inlineStr">
        <is>
          <t>LIGHT COMPRESSION BANDAGE, ELASTIC, KNITTED/WOVEN, WIDTH LESS THAN THREE INCHES, PER YARD</t>
        </is>
      </c>
      <c r="D235" t="n">
        <v>3</v>
      </c>
      <c r="E235" t="n">
        <v>1.61</v>
      </c>
      <c r="O235">
        <f>IF(P235=H235,IF(ISBLANK(G235),"",F235&amp;" - "&amp;G235),IF(P235=K235,IF(ISBLANK(J235),"",I235&amp;" - "&amp;J235),IF(ISBLANK(M235),"",L235&amp;" - "&amp;M235)))</f>
        <v/>
      </c>
      <c r="P235">
        <f>MIN(H235,K235,N235)</f>
        <v/>
      </c>
      <c r="Q235">
        <f>D235*P235</f>
        <v/>
      </c>
      <c r="R235">
        <f>IF(ISBLANK(E235),0,D235*E235)</f>
        <v/>
      </c>
      <c r="S235">
        <f>IF(R235=0,0,(R235-Q235)/R235)</f>
        <v/>
      </c>
      <c r="T235" t="n">
        <v>60</v>
      </c>
      <c r="U235" t="inlineStr">
        <is>
          <t>LAUNCH_INVENTORY</t>
        </is>
      </c>
    </row>
    <row r="236">
      <c r="A236" t="inlineStr">
        <is>
          <t>A6578</t>
        </is>
      </c>
      <c r="B236" t="inlineStr">
        <is>
          <t>S04</t>
        </is>
      </c>
      <c r="C236" t="inlineStr">
        <is>
          <t>GRADIENT  COMPRESSION ARM SLEEVE, EACH</t>
        </is>
      </c>
      <c r="D236" t="n">
        <v>3</v>
      </c>
      <c r="E236" t="n">
        <v>77.45999999999999</v>
      </c>
      <c r="O236">
        <f>IF(P236=H236,IF(ISBLANK(G236),"",F236&amp;" - "&amp;G236),IF(P236=K236,IF(ISBLANK(J236),"",I236&amp;" - "&amp;J236),IF(ISBLANK(M236),"",L236&amp;" - "&amp;M236)))</f>
        <v/>
      </c>
      <c r="P236">
        <f>MIN(H236,K236,N236)</f>
        <v/>
      </c>
      <c r="Q236">
        <f>D236*P236</f>
        <v/>
      </c>
      <c r="R236">
        <f>IF(ISBLANK(E236),0,D236*E236)</f>
        <v/>
      </c>
      <c r="S236">
        <f>IF(R236=0,0,(R236-Q236)/R236)</f>
        <v/>
      </c>
      <c r="T236" t="n">
        <v>60</v>
      </c>
      <c r="U236" t="inlineStr">
        <is>
          <t>LAUNCH_INVENTORY</t>
        </is>
      </c>
    </row>
    <row r="237">
      <c r="A237" t="inlineStr">
        <is>
          <t>A6577</t>
        </is>
      </c>
      <c r="B237" t="inlineStr">
        <is>
          <t>S04</t>
        </is>
      </c>
      <c r="C237" t="inlineStr">
        <is>
          <t>GRADIENT  COMPRESSION ARM SLEEVE, CUSTOM, HEAVY WEIGHT, EACH</t>
        </is>
      </c>
      <c r="D237" t="n">
        <v>3</v>
      </c>
      <c r="E237" t="n">
        <v>157.28</v>
      </c>
      <c r="O237">
        <f>IF(P237=H237,IF(ISBLANK(G237),"",F237&amp;" - "&amp;G237),IF(P237=K237,IF(ISBLANK(J237),"",I237&amp;" - "&amp;J237),IF(ISBLANK(M237),"",L237&amp;" - "&amp;M237)))</f>
        <v/>
      </c>
      <c r="P237">
        <f>MIN(H237,K237,N237)</f>
        <v/>
      </c>
      <c r="Q237">
        <f>D237*P237</f>
        <v/>
      </c>
      <c r="R237">
        <f>IF(ISBLANK(E237),0,D237*E237)</f>
        <v/>
      </c>
      <c r="S237">
        <f>IF(R237=0,0,(R237-Q237)/R237)</f>
        <v/>
      </c>
      <c r="T237" t="n">
        <v>60</v>
      </c>
      <c r="U237" t="inlineStr">
        <is>
          <t>LAUNCH_INVENTORY</t>
        </is>
      </c>
    </row>
    <row r="238">
      <c r="A238" t="inlineStr">
        <is>
          <t>A6533</t>
        </is>
      </c>
      <c r="B238" t="inlineStr">
        <is>
          <t>S04</t>
        </is>
      </c>
      <c r="C238" t="inlineStr">
        <is>
          <t>GRADIENT COMPRESSION STOCKING, THIGH LENGTH, 18-30 MMHG, EACH</t>
        </is>
      </c>
      <c r="D238" t="n">
        <v>3</v>
      </c>
      <c r="E238" t="n">
        <v>53.42</v>
      </c>
      <c r="O238">
        <f>IF(P238=H238,IF(ISBLANK(G238),"",F238&amp;" - "&amp;G238),IF(P238=K238,IF(ISBLANK(J238),"",I238&amp;" - "&amp;J238),IF(ISBLANK(M238),"",L238&amp;" - "&amp;M238)))</f>
        <v/>
      </c>
      <c r="P238">
        <f>MIN(H238,K238,N238)</f>
        <v/>
      </c>
      <c r="Q238">
        <f>D238*P238</f>
        <v/>
      </c>
      <c r="R238">
        <f>IF(ISBLANK(E238),0,D238*E238)</f>
        <v/>
      </c>
      <c r="S238">
        <f>IF(R238=0,0,(R238-Q238)/R238)</f>
        <v/>
      </c>
      <c r="T238" t="n">
        <v>60</v>
      </c>
      <c r="U238" t="inlineStr">
        <is>
          <t>LAUNCH_INVENTORY</t>
        </is>
      </c>
    </row>
    <row r="239">
      <c r="A239" t="inlineStr">
        <is>
          <t>A6010</t>
        </is>
      </c>
      <c r="B239" t="inlineStr">
        <is>
          <t>S01</t>
        </is>
      </c>
      <c r="C239" t="inlineStr">
        <is>
          <t>COLLAGEN BASED WOUND FILLER, DRY FORM, STERILE, PER GRAM OF COLLAGEN</t>
        </is>
      </c>
      <c r="D239" t="n">
        <v>3</v>
      </c>
      <c r="E239" t="n">
        <v>43.27</v>
      </c>
      <c r="O239">
        <f>IF(P239=H239,IF(ISBLANK(G239),"",F239&amp;" - "&amp;G239),IF(P239=K239,IF(ISBLANK(J239),"",I239&amp;" - "&amp;J239),IF(ISBLANK(M239),"",L239&amp;" - "&amp;M239)))</f>
        <v/>
      </c>
      <c r="P239">
        <f>MIN(H239,K239,N239)</f>
        <v/>
      </c>
      <c r="Q239">
        <f>D239*P239</f>
        <v/>
      </c>
      <c r="R239">
        <f>IF(ISBLANK(E239),0,D239*E239)</f>
        <v/>
      </c>
      <c r="S239">
        <f>IF(R239=0,0,(R239-Q239)/R239)</f>
        <v/>
      </c>
      <c r="T239" t="n">
        <v>60</v>
      </c>
      <c r="U239" t="inlineStr">
        <is>
          <t>LAUNCH_INVENTORY</t>
        </is>
      </c>
    </row>
    <row r="240">
      <c r="A240" t="inlineStr">
        <is>
          <t>A6011</t>
        </is>
      </c>
      <c r="B240" t="inlineStr">
        <is>
          <t>S01</t>
        </is>
      </c>
      <c r="C240" t="inlineStr">
        <is>
          <t>COLLAGEN BASED WOUND FILLER, GEL/PASTE, PER GRAM OF COLLAGEN</t>
        </is>
      </c>
      <c r="D240" t="n">
        <v>3</v>
      </c>
      <c r="E240" t="n">
        <v>3.19</v>
      </c>
      <c r="O240">
        <f>IF(P240=H240,IF(ISBLANK(G240),"",F240&amp;" - "&amp;G240),IF(P240=K240,IF(ISBLANK(J240),"",I240&amp;" - "&amp;J240),IF(ISBLANK(M240),"",L240&amp;" - "&amp;M240)))</f>
        <v/>
      </c>
      <c r="P240">
        <f>MIN(H240,K240,N240)</f>
        <v/>
      </c>
      <c r="Q240">
        <f>D240*P240</f>
        <v/>
      </c>
      <c r="R240">
        <f>IF(ISBLANK(E240),0,D240*E240)</f>
        <v/>
      </c>
      <c r="S240">
        <f>IF(R240=0,0,(R240-Q240)/R240)</f>
        <v/>
      </c>
      <c r="T240" t="n">
        <v>60</v>
      </c>
      <c r="U240" t="inlineStr">
        <is>
          <t>LAUNCH_INVENTORY</t>
        </is>
      </c>
    </row>
    <row r="241">
      <c r="A241" t="inlineStr">
        <is>
          <t>A6021</t>
        </is>
      </c>
      <c r="B241" t="inlineStr">
        <is>
          <t>S01</t>
        </is>
      </c>
      <c r="C241" t="inlineStr">
        <is>
          <t>COLLAGEN DRESSING, STERILE, SIZE 16 SQ. IN. OR LESS, EACH</t>
        </is>
      </c>
      <c r="D241" t="n">
        <v>3</v>
      </c>
      <c r="E241" t="n">
        <v>29.38</v>
      </c>
      <c r="O241">
        <f>IF(P241=H241,IF(ISBLANK(G241),"",F241&amp;" - "&amp;G241),IF(P241=K241,IF(ISBLANK(J241),"",I241&amp;" - "&amp;J241),IF(ISBLANK(M241),"",L241&amp;" - "&amp;M241)))</f>
        <v/>
      </c>
      <c r="P241">
        <f>MIN(H241,K241,N241)</f>
        <v/>
      </c>
      <c r="Q241">
        <f>D241*P241</f>
        <v/>
      </c>
      <c r="R241">
        <f>IF(ISBLANK(E241),0,D241*E241)</f>
        <v/>
      </c>
      <c r="S241">
        <f>IF(R241=0,0,(R241-Q241)/R241)</f>
        <v/>
      </c>
      <c r="T241" t="n">
        <v>60</v>
      </c>
      <c r="U241" t="inlineStr">
        <is>
          <t>LAUNCH_INVENTORY</t>
        </is>
      </c>
    </row>
    <row r="242">
      <c r="A242" t="inlineStr">
        <is>
          <t>A6449</t>
        </is>
      </c>
      <c r="B242" t="inlineStr">
        <is>
          <t>S01</t>
        </is>
      </c>
      <c r="C242" t="inlineStr">
        <is>
          <t>LIGHT COMPRESSION BANDAGE, ELASTIC, KNITTED/WOVEN, WIDTH GREATER THAN OR EQUAL TO THREE INCHES AND LESS THAN FIVE INCHES, PER YARD</t>
        </is>
      </c>
      <c r="D242" t="n">
        <v>3</v>
      </c>
      <c r="E242" t="n">
        <v>2.45</v>
      </c>
      <c r="O242">
        <f>IF(P242=H242,IF(ISBLANK(G242),"",F242&amp;" - "&amp;G242),IF(P242=K242,IF(ISBLANK(J242),"",I242&amp;" - "&amp;J242),IF(ISBLANK(M242),"",L242&amp;" - "&amp;M242)))</f>
        <v/>
      </c>
      <c r="P242">
        <f>MIN(H242,K242,N242)</f>
        <v/>
      </c>
      <c r="Q242">
        <f>D242*P242</f>
        <v/>
      </c>
      <c r="R242">
        <f>IF(ISBLANK(E242),0,D242*E242)</f>
        <v/>
      </c>
      <c r="S242">
        <f>IF(R242=0,0,(R242-Q242)/R242)</f>
        <v/>
      </c>
      <c r="T242" t="n">
        <v>60</v>
      </c>
      <c r="U242" t="inlineStr">
        <is>
          <t>LAUNCH_INVENTORY</t>
        </is>
      </c>
    </row>
    <row r="243">
      <c r="A243" t="inlineStr">
        <is>
          <t>A4360</t>
        </is>
      </c>
      <c r="B243" t="inlineStr">
        <is>
          <t>PD09</t>
        </is>
      </c>
      <c r="C243" t="inlineStr">
        <is>
          <t>DISPOSABLE EXTERNAL URETHRAL CLAMP OR COMPRESSION DEVICE, WITH PAD AND/OR POUCH, EACH</t>
        </is>
      </c>
      <c r="D243" t="n">
        <v>3</v>
      </c>
      <c r="E243" t="n">
        <v>0.59</v>
      </c>
      <c r="O243">
        <f>IF(P243=H243,IF(ISBLANK(G243),"",F243&amp;" - "&amp;G243),IF(P243=K243,IF(ISBLANK(J243),"",I243&amp;" - "&amp;J243),IF(ISBLANK(M243),"",L243&amp;" - "&amp;M243)))</f>
        <v/>
      </c>
      <c r="P243">
        <f>MIN(H243,K243,N243)</f>
        <v/>
      </c>
      <c r="Q243">
        <f>D243*P243</f>
        <v/>
      </c>
      <c r="R243">
        <f>IF(ISBLANK(E243),0,D243*E243)</f>
        <v/>
      </c>
      <c r="S243">
        <f>IF(R243=0,0,(R243-Q243)/R243)</f>
        <v/>
      </c>
      <c r="T243" t="n">
        <v>60</v>
      </c>
      <c r="U243" t="inlineStr">
        <is>
          <t>LAUNCH_INVENTORY</t>
        </is>
      </c>
    </row>
    <row r="244">
      <c r="A244" t="inlineStr">
        <is>
          <t>A6452</t>
        </is>
      </c>
      <c r="B244" t="inlineStr">
        <is>
          <t>S01</t>
        </is>
      </c>
      <c r="C244" t="inlineStr">
        <is>
          <t>HIGH COMPRESSION BANDAGE, ELASTIC, KNITTED/WOVEN, LOAD RESISTANCE GREATER THAN OR EQUAL TO 1.35 FOOT POUNDS AT 50% MAXIMUM STRETCH, WIDTH GREATER THAN OR EQUAL TO THREE INCHES AND LESS THAN FIVE INCHES, PER YARD</t>
        </is>
      </c>
      <c r="D244" t="n">
        <v>3</v>
      </c>
      <c r="E244" t="n">
        <v>8.24</v>
      </c>
      <c r="O244">
        <f>IF(P244=H244,IF(ISBLANK(G244),"",F244&amp;" - "&amp;G244),IF(P244=K244,IF(ISBLANK(J244),"",I244&amp;" - "&amp;J244),IF(ISBLANK(M244),"",L244&amp;" - "&amp;M244)))</f>
        <v/>
      </c>
      <c r="P244">
        <f>MIN(H244,K244,N244)</f>
        <v/>
      </c>
      <c r="Q244">
        <f>D244*P244</f>
        <v/>
      </c>
      <c r="R244">
        <f>IF(ISBLANK(E244),0,D244*E244)</f>
        <v/>
      </c>
      <c r="S244">
        <f>IF(R244=0,0,(R244-Q244)/R244)</f>
        <v/>
      </c>
      <c r="T244" t="n">
        <v>60</v>
      </c>
      <c r="U244" t="inlineStr">
        <is>
          <t>LAUNCH_INVENTORY</t>
        </is>
      </c>
    </row>
    <row r="245">
      <c r="A245" t="inlineStr">
        <is>
          <t>A6453</t>
        </is>
      </c>
      <c r="B245" t="inlineStr">
        <is>
          <t>S01</t>
        </is>
      </c>
      <c r="C245" t="inlineStr">
        <is>
          <t>SELF-ADHERENT BANDAGE, ELASTIC, NON-KNITTED/NON-WOVEN, WIDTH LESS THAN THREE INCHES, PER YARD</t>
        </is>
      </c>
      <c r="D245" t="n">
        <v>3</v>
      </c>
      <c r="E245" t="n">
        <v>0.88</v>
      </c>
      <c r="O245">
        <f>IF(P245=H245,IF(ISBLANK(G245),"",F245&amp;" - "&amp;G245),IF(P245=K245,IF(ISBLANK(J245),"",I245&amp;" - "&amp;J245),IF(ISBLANK(M245),"",L245&amp;" - "&amp;M245)))</f>
        <v/>
      </c>
      <c r="P245">
        <f>MIN(H245,K245,N245)</f>
        <v/>
      </c>
      <c r="Q245">
        <f>D245*P245</f>
        <v/>
      </c>
      <c r="R245">
        <f>IF(ISBLANK(E245),0,D245*E245)</f>
        <v/>
      </c>
      <c r="S245">
        <f>IF(R245=0,0,(R245-Q245)/R245)</f>
        <v/>
      </c>
      <c r="T245" t="n">
        <v>60</v>
      </c>
      <c r="U245" t="inlineStr">
        <is>
          <t>LAUNCH_INVENTORY</t>
        </is>
      </c>
    </row>
    <row r="246">
      <c r="A246" t="inlineStr">
        <is>
          <t>B4150</t>
        </is>
      </c>
      <c r="B246" t="inlineStr">
        <is>
          <t>PE03</t>
        </is>
      </c>
      <c r="C246" t="inlineStr">
        <is>
          <t>ENTERAL FORMULA, NUTRITIONALLY COMPLETE WITH INTACT NUTRIENTS, INCLUDES PROTEINS, FATS, CARBOHYDRATES, VITAMINS AND MINERALS, MAY INCLUDE FIBER, ADMINISTERED THROUGH AN ENTERAL FEEDING TUBE, 100 CALORIES = 1 UNIT</t>
        </is>
      </c>
      <c r="D246" t="n">
        <v>40</v>
      </c>
      <c r="E246" t="n">
        <v>0.46</v>
      </c>
      <c r="O246">
        <f>IF(P246=H246,IF(ISBLANK(G246),"",F246&amp;" - "&amp;G246),IF(P246=K246,IF(ISBLANK(J246),"",I246&amp;" - "&amp;J246),IF(ISBLANK(M246),"",L246&amp;" - "&amp;M246)))</f>
        <v/>
      </c>
      <c r="P246">
        <f>MIN(H246,K246,N246)</f>
        <v/>
      </c>
      <c r="Q246">
        <f>D246*P246</f>
        <v/>
      </c>
      <c r="R246">
        <f>IF(ISBLANK(E246),0,D246*E246)</f>
        <v/>
      </c>
      <c r="S246">
        <f>IF(R246=0,0,(R246-Q246)/R246)</f>
        <v/>
      </c>
      <c r="T246" t="n">
        <v>60</v>
      </c>
      <c r="U246" t="inlineStr">
        <is>
          <t>CUSTOMER</t>
        </is>
      </c>
      <c r="V246" t="inlineStr">
        <is>
          <t>RAMBOM</t>
        </is>
      </c>
    </row>
    <row r="247">
      <c r="A247" t="inlineStr">
        <is>
          <t>A6534</t>
        </is>
      </c>
      <c r="B247" t="inlineStr">
        <is>
          <t>S01</t>
        </is>
      </c>
      <c r="C247" t="inlineStr">
        <is>
          <t>GRADIENT COMPRESSION STOCKING, THIGH LENGTH, 30-40 MMHG, EACH</t>
        </is>
      </c>
      <c r="D247" t="n">
        <v>3</v>
      </c>
      <c r="E247" t="n">
        <v>61</v>
      </c>
      <c r="O247">
        <f>IF(P247=H247,IF(ISBLANK(G247),"",F247&amp;" - "&amp;G247),IF(P247=K247,IF(ISBLANK(J247),"",I247&amp;" - "&amp;J247),IF(ISBLANK(M247),"",L247&amp;" - "&amp;M247)))</f>
        <v/>
      </c>
      <c r="P247">
        <f>MIN(H247,K247,N247)</f>
        <v/>
      </c>
      <c r="Q247">
        <f>D247*P247</f>
        <v/>
      </c>
      <c r="R247">
        <f>IF(ISBLANK(E247),0,D247*E247)</f>
        <v/>
      </c>
      <c r="S247">
        <f>IF(R247=0,0,(R247-Q247)/R247)</f>
        <v/>
      </c>
      <c r="T247" t="n">
        <v>60</v>
      </c>
      <c r="U247" t="inlineStr">
        <is>
          <t>LAUNCH_INVENTORY</t>
        </is>
      </c>
    </row>
    <row r="248">
      <c r="A248" t="inlineStr">
        <is>
          <t>A6535</t>
        </is>
      </c>
      <c r="B248" t="inlineStr">
        <is>
          <t>S01</t>
        </is>
      </c>
      <c r="C248" t="inlineStr">
        <is>
          <t>GRADIENT COMPRESSION STOCKING, THIGH LENGTH, 40 MMHG OR GREATER, EACH</t>
        </is>
      </c>
      <c r="D248" t="n">
        <v>3</v>
      </c>
      <c r="E248" t="n">
        <v>70.23</v>
      </c>
      <c r="O248">
        <f>IF(P248=H248,IF(ISBLANK(G248),"",F248&amp;" - "&amp;G248),IF(P248=K248,IF(ISBLANK(J248),"",I248&amp;" - "&amp;J248),IF(ISBLANK(M248),"",L248&amp;" - "&amp;M248)))</f>
        <v/>
      </c>
      <c r="P248">
        <f>MIN(H248,K248,N248)</f>
        <v/>
      </c>
      <c r="Q248">
        <f>D248*P248</f>
        <v/>
      </c>
      <c r="R248">
        <f>IF(ISBLANK(E248),0,D248*E248)</f>
        <v/>
      </c>
      <c r="S248">
        <f>IF(R248=0,0,(R248-Q248)/R248)</f>
        <v/>
      </c>
      <c r="T248" t="n">
        <v>60</v>
      </c>
      <c r="U248" t="inlineStr">
        <is>
          <t>LAUNCH_INVENTORY</t>
        </is>
      </c>
    </row>
    <row r="249">
      <c r="A249" t="inlineStr">
        <is>
          <t>A6576</t>
        </is>
      </c>
      <c r="B249" t="inlineStr">
        <is>
          <t>S04</t>
        </is>
      </c>
      <c r="C249" t="inlineStr">
        <is>
          <t>GRADIENT  COMPRESSION ARM SLEEVE, CUSTOM, MEDIUM WEIGHT, EACH</t>
        </is>
      </c>
      <c r="D249" t="n">
        <v>3</v>
      </c>
      <c r="E249" t="n">
        <v>190.03</v>
      </c>
      <c r="O249">
        <f>IF(P249=H249,IF(ISBLANK(G249),"",F249&amp;" - "&amp;G249),IF(P249=K249,IF(ISBLANK(J249),"",I249&amp;" - "&amp;J249),IF(ISBLANK(M249),"",L249&amp;" - "&amp;M249)))</f>
        <v/>
      </c>
      <c r="P249">
        <f>MIN(H249,K249,N249)</f>
        <v/>
      </c>
      <c r="Q249">
        <f>D249*P249</f>
        <v/>
      </c>
      <c r="R249">
        <f>IF(ISBLANK(E249),0,D249*E249)</f>
        <v/>
      </c>
      <c r="S249">
        <f>IF(R249=0,0,(R249-Q249)/R249)</f>
        <v/>
      </c>
      <c r="T249" t="n">
        <v>60</v>
      </c>
      <c r="U249" t="inlineStr">
        <is>
          <t>LAUNCH_INVENTORY</t>
        </is>
      </c>
    </row>
    <row r="250">
      <c r="A250" t="inlineStr">
        <is>
          <t>A6450</t>
        </is>
      </c>
      <c r="B250" t="inlineStr">
        <is>
          <t>S01</t>
        </is>
      </c>
      <c r="C250" t="inlineStr">
        <is>
          <t>LIGHT COMPRESSION BANDAGE, ELASTIC, KNITTED/WOVEN, WIDTH GREATER THAN OR EQUAL TO FIVE INCHES, PER YARD</t>
        </is>
      </c>
      <c r="D250" t="n">
        <v>3</v>
      </c>
      <c r="E250" t="n">
        <v>2.45</v>
      </c>
      <c r="O250">
        <f>IF(P250=H250,IF(ISBLANK(G250),"",F250&amp;" - "&amp;G250),IF(P250=K250,IF(ISBLANK(J250),"",I250&amp;" - "&amp;J250),IF(ISBLANK(M250),"",L250&amp;" - "&amp;M250)))</f>
        <v/>
      </c>
      <c r="P250">
        <f>MIN(H250,K250,N250)</f>
        <v/>
      </c>
      <c r="Q250">
        <f>D250*P250</f>
        <v/>
      </c>
      <c r="R250">
        <f>IF(ISBLANK(E250),0,D250*E250)</f>
        <v/>
      </c>
      <c r="S250">
        <f>IF(R250=0,0,(R250-Q250)/R250)</f>
        <v/>
      </c>
      <c r="T250" t="n">
        <v>60</v>
      </c>
      <c r="U250" t="inlineStr">
        <is>
          <t>LAUNCH_INVENTORY</t>
        </is>
      </c>
    </row>
    <row r="251">
      <c r="A251" t="inlineStr">
        <is>
          <t>A6451</t>
        </is>
      </c>
      <c r="B251" t="inlineStr">
        <is>
          <t>S01</t>
        </is>
      </c>
      <c r="C251" t="inlineStr">
        <is>
          <t>MODERATE COMPRESSION BANDAGE, ELASTIC, KNITTED/WOVEN, LOAD RESISTANCE OF 1.25 TO 1.34 FOOT POUNDS AT 50% MAXIMUM STRETCH, WIDTH GREATER THAN OR EQUAL TO THREE INCHES AND LESS THAN FIVE INCHES, PER YARD</t>
        </is>
      </c>
      <c r="D251" t="n">
        <v>3</v>
      </c>
      <c r="E251" t="n">
        <v>2.45</v>
      </c>
      <c r="O251">
        <f>IF(P251=H251,IF(ISBLANK(G251),"",F251&amp;" - "&amp;G251),IF(P251=K251,IF(ISBLANK(J251),"",I251&amp;" - "&amp;J251),IF(ISBLANK(M251),"",L251&amp;" - "&amp;M251)))</f>
        <v/>
      </c>
      <c r="P251">
        <f>MIN(H251,K251,N251)</f>
        <v/>
      </c>
      <c r="Q251">
        <f>D251*P251</f>
        <v/>
      </c>
      <c r="R251">
        <f>IF(ISBLANK(E251),0,D251*E251)</f>
        <v/>
      </c>
      <c r="S251">
        <f>IF(R251=0,0,(R251-Q251)/R251)</f>
        <v/>
      </c>
      <c r="T251" t="n">
        <v>60</v>
      </c>
      <c r="U251" t="inlineStr">
        <is>
          <t>LAUNCH_INVENTORY</t>
        </is>
      </c>
    </row>
    <row r="252">
      <c r="A252" t="inlineStr">
        <is>
          <t>A6456</t>
        </is>
      </c>
      <c r="B252" t="inlineStr">
        <is>
          <t>S01</t>
        </is>
      </c>
      <c r="C252" t="inlineStr">
        <is>
          <t>ZINC PASTE IMPREGNATED BANDAGE, NON-ELASTIC, KNITTED/WOVEN, WIDTH GREATER THAN OR EQUAL TO THREE INCHES AND LESS THAN FIVE INCHES, PER YARD</t>
        </is>
      </c>
      <c r="D252" t="n">
        <v>3</v>
      </c>
      <c r="E252" t="n">
        <v>1.75</v>
      </c>
      <c r="O252">
        <f>IF(P252=H252,IF(ISBLANK(G252),"",F252&amp;" - "&amp;G252),IF(P252=K252,IF(ISBLANK(J252),"",I252&amp;" - "&amp;J252),IF(ISBLANK(M252),"",L252&amp;" - "&amp;M252)))</f>
        <v/>
      </c>
      <c r="P252">
        <f>MIN(H252,K252,N252)</f>
        <v/>
      </c>
      <c r="Q252">
        <f>D252*P252</f>
        <v/>
      </c>
      <c r="R252">
        <f>IF(ISBLANK(E252),0,D252*E252)</f>
        <v/>
      </c>
      <c r="S252">
        <f>IF(R252=0,0,(R252-Q252)/R252)</f>
        <v/>
      </c>
      <c r="T252" t="n">
        <v>60</v>
      </c>
      <c r="U252" t="inlineStr">
        <is>
          <t>LAUNCH_INVENTORY</t>
        </is>
      </c>
    </row>
    <row r="253">
      <c r="A253" t="inlineStr">
        <is>
          <t>A6441</t>
        </is>
      </c>
      <c r="B253" t="inlineStr">
        <is>
          <t>S01</t>
        </is>
      </c>
      <c r="C253" t="inlineStr">
        <is>
          <t>PADDING BANDAGE, NON-ELASTIC, NON-WOVEN/NON-KNITTED, WIDTH GREATER THAN OR EQUAL TO THREE INCHES AND LESS THAN FIVE INCHES, PER YARD</t>
        </is>
      </c>
      <c r="D253" t="n">
        <v>3</v>
      </c>
      <c r="E253" t="n">
        <v>0.95</v>
      </c>
      <c r="O253">
        <f>IF(P253=H253,IF(ISBLANK(G253),"",F253&amp;" - "&amp;G253),IF(P253=K253,IF(ISBLANK(J253),"",I253&amp;" - "&amp;J253),IF(ISBLANK(M253),"",L253&amp;" - "&amp;M253)))</f>
        <v/>
      </c>
      <c r="P253">
        <f>MIN(H253,K253,N253)</f>
        <v/>
      </c>
      <c r="Q253">
        <f>D253*P253</f>
        <v/>
      </c>
      <c r="R253">
        <f>IF(ISBLANK(E253),0,D253*E253)</f>
        <v/>
      </c>
      <c r="S253">
        <f>IF(R253=0,0,(R253-Q253)/R253)</f>
        <v/>
      </c>
      <c r="T253" t="n">
        <v>60</v>
      </c>
      <c r="U253" t="inlineStr">
        <is>
          <t>LAUNCH_INVENTORY</t>
        </is>
      </c>
    </row>
    <row r="254">
      <c r="A254" t="inlineStr">
        <is>
          <t>A6455</t>
        </is>
      </c>
      <c r="B254" t="inlineStr">
        <is>
          <t>S01</t>
        </is>
      </c>
      <c r="C254" t="inlineStr">
        <is>
          <t>SELF-ADHERENT BANDAGE, ELASTIC, NON-KNITTED/NON-WOVEN, WIDTH GREATER THAN OR EQUAL TO FIVE INCHES, PER YARD</t>
        </is>
      </c>
      <c r="D254" t="n">
        <v>3</v>
      </c>
      <c r="E254" t="n">
        <v>1.95</v>
      </c>
      <c r="O254">
        <f>IF(P254=H254,IF(ISBLANK(G254),"",F254&amp;" - "&amp;G254),IF(P254=K254,IF(ISBLANK(J254),"",I254&amp;" - "&amp;J254),IF(ISBLANK(M254),"",L254&amp;" - "&amp;M254)))</f>
        <v/>
      </c>
      <c r="P254">
        <f>MIN(H254,K254,N254)</f>
        <v/>
      </c>
      <c r="Q254">
        <f>D254*P254</f>
        <v/>
      </c>
      <c r="R254">
        <f>IF(ISBLANK(E254),0,D254*E254)</f>
        <v/>
      </c>
      <c r="S254">
        <f>IF(R254=0,0,(R254-Q254)/R254)</f>
        <v/>
      </c>
      <c r="T254" t="n">
        <v>60</v>
      </c>
      <c r="U254" t="inlineStr">
        <is>
          <t>LAUNCH_INVENTORY</t>
        </is>
      </c>
    </row>
    <row r="255">
      <c r="A255" t="inlineStr">
        <is>
          <t>E0154</t>
        </is>
      </c>
      <c r="B255" t="inlineStr">
        <is>
          <t>M05</t>
        </is>
      </c>
      <c r="C255" t="inlineStr">
        <is>
          <t>PLATFORM ATTACHMENT, WALKER, EACH</t>
        </is>
      </c>
      <c r="D255" t="n">
        <v>2</v>
      </c>
      <c r="E255" t="n">
        <v>59.34</v>
      </c>
      <c r="O255">
        <f>IF(P255=H255,IF(ISBLANK(G255),"",F255&amp;" - "&amp;G255),IF(P255=K255,IF(ISBLANK(J255),"",I255&amp;" - "&amp;J255),IF(ISBLANK(M255),"",L255&amp;" - "&amp;M255)))</f>
        <v/>
      </c>
      <c r="P255">
        <f>MIN(H255,K255,N255)</f>
        <v/>
      </c>
      <c r="Q255">
        <f>D255*P255</f>
        <v/>
      </c>
      <c r="R255">
        <f>IF(ISBLANK(E255),0,D255*E255)</f>
        <v/>
      </c>
      <c r="S255">
        <f>IF(R255=0,0,(R255-Q255)/R255)</f>
        <v/>
      </c>
      <c r="T255" t="n">
        <v>50</v>
      </c>
      <c r="U255" t="inlineStr">
        <is>
          <t>LAUNCH_INVENTORY</t>
        </is>
      </c>
    </row>
    <row r="256">
      <c r="A256" t="inlineStr">
        <is>
          <t>K0006</t>
        </is>
      </c>
      <c r="B256" t="inlineStr">
        <is>
          <t>M06</t>
        </is>
      </c>
      <c r="C256" t="inlineStr">
        <is>
          <t>HEAVY DUTY WHEELCHAIR</t>
        </is>
      </c>
      <c r="D256" t="n">
        <v>2</v>
      </c>
      <c r="E256" t="n">
        <v>63.58</v>
      </c>
      <c r="O256">
        <f>IF(P256=H256,IF(ISBLANK(G256),"",F256&amp;" - "&amp;G256),IF(P256=K256,IF(ISBLANK(J256),"",I256&amp;" - "&amp;J256),IF(ISBLANK(M256),"",L256&amp;" - "&amp;M256)))</f>
        <v/>
      </c>
      <c r="P256">
        <f>MIN(H256,K256,N256)</f>
        <v/>
      </c>
      <c r="Q256">
        <f>D256*P256</f>
        <v/>
      </c>
      <c r="R256">
        <f>IF(ISBLANK(E256),0,D256*E256)</f>
        <v/>
      </c>
      <c r="S256">
        <f>IF(R256=0,0,(R256-Q256)/R256)</f>
        <v/>
      </c>
      <c r="T256" t="n">
        <v>50</v>
      </c>
      <c r="U256" t="inlineStr">
        <is>
          <t>LAUNCH_INVENTORY</t>
        </is>
      </c>
    </row>
    <row r="257">
      <c r="A257" t="inlineStr">
        <is>
          <t>K0003</t>
        </is>
      </c>
      <c r="B257" t="inlineStr">
        <is>
          <t>M06</t>
        </is>
      </c>
      <c r="C257" t="inlineStr">
        <is>
          <t>LIGHTWEIGHT WHEELCHAIR</t>
        </is>
      </c>
      <c r="D257" t="n">
        <v>2</v>
      </c>
      <c r="E257" t="n">
        <v>32.15</v>
      </c>
      <c r="O257">
        <f>IF(P257=H257,IF(ISBLANK(G257),"",F257&amp;" - "&amp;G257),IF(P257=K257,IF(ISBLANK(J257),"",I257&amp;" - "&amp;J257),IF(ISBLANK(M257),"",L257&amp;" - "&amp;M257)))</f>
        <v/>
      </c>
      <c r="P257">
        <f>MIN(H257,K257,N257)</f>
        <v/>
      </c>
      <c r="Q257">
        <f>D257*P257</f>
        <v/>
      </c>
      <c r="R257">
        <f>IF(ISBLANK(E257),0,D257*E257)</f>
        <v/>
      </c>
      <c r="S257">
        <f>IF(R257=0,0,(R257-Q257)/R257)</f>
        <v/>
      </c>
      <c r="T257" t="n">
        <v>50</v>
      </c>
      <c r="U257" t="inlineStr">
        <is>
          <t>LAUNCH_INVENTORY</t>
        </is>
      </c>
    </row>
    <row r="258">
      <c r="A258" t="inlineStr">
        <is>
          <t>K0004</t>
        </is>
      </c>
      <c r="B258" t="inlineStr">
        <is>
          <t>M06</t>
        </is>
      </c>
      <c r="C258" t="inlineStr">
        <is>
          <t>HIGH STRENGTH, LIGHTWEIGHT WHEELCHAIR</t>
        </is>
      </c>
      <c r="D258" t="n">
        <v>2</v>
      </c>
      <c r="E258" t="n">
        <v>45.66</v>
      </c>
      <c r="O258">
        <f>IF(P258=H258,IF(ISBLANK(G258),"",F258&amp;" - "&amp;G258),IF(P258=K258,IF(ISBLANK(J258),"",I258&amp;" - "&amp;J258),IF(ISBLANK(M258),"",L258&amp;" - "&amp;M258)))</f>
        <v/>
      </c>
      <c r="P258">
        <f>MIN(H258,K258,N258)</f>
        <v/>
      </c>
      <c r="Q258">
        <f>D258*P258</f>
        <v/>
      </c>
      <c r="R258">
        <f>IF(ISBLANK(E258),0,D258*E258)</f>
        <v/>
      </c>
      <c r="S258">
        <f>IF(R258=0,0,(R258-Q258)/R258)</f>
        <v/>
      </c>
      <c r="T258" t="n">
        <v>50</v>
      </c>
      <c r="U258" t="inlineStr">
        <is>
          <t>LAUNCH_INVENTORY</t>
        </is>
      </c>
    </row>
    <row r="259">
      <c r="A259" t="inlineStr">
        <is>
          <t>E0114</t>
        </is>
      </c>
      <c r="B259" t="inlineStr">
        <is>
          <t>M01</t>
        </is>
      </c>
      <c r="C259" t="inlineStr">
        <is>
          <t>CRUTCHES UNDERARM, OTHER THAN WOOD, ADJUSTABLE OR FIXED, PAIR, WITH PADS, TIPS AND HANDGRIPS</t>
        </is>
      </c>
      <c r="D259" t="n">
        <v>2</v>
      </c>
      <c r="E259" t="n">
        <v>61.45</v>
      </c>
      <c r="O259">
        <f>IF(P259=H259,IF(ISBLANK(G259),"",F259&amp;" - "&amp;G259),IF(P259=K259,IF(ISBLANK(J259),"",I259&amp;" - "&amp;J259),IF(ISBLANK(M259),"",L259&amp;" - "&amp;M259)))</f>
        <v/>
      </c>
      <c r="P259">
        <f>MIN(H259,K259,N259)</f>
        <v/>
      </c>
      <c r="Q259">
        <f>D259*P259</f>
        <v/>
      </c>
      <c r="R259">
        <f>IF(ISBLANK(E259),0,D259*E259)</f>
        <v/>
      </c>
      <c r="S259">
        <f>IF(R259=0,0,(R259-Q259)/R259)</f>
        <v/>
      </c>
      <c r="T259" t="n">
        <v>50</v>
      </c>
      <c r="U259" t="inlineStr">
        <is>
          <t>LAUNCH_INVENTORY</t>
        </is>
      </c>
    </row>
    <row r="260">
      <c r="A260" t="inlineStr">
        <is>
          <t>E0116</t>
        </is>
      </c>
      <c r="B260" t="inlineStr">
        <is>
          <t>M01</t>
        </is>
      </c>
      <c r="C260" t="inlineStr">
        <is>
          <t>CRUTCH, UNDERARM, OTHER THAN WOOD, ADJUSTABLE OR FIXED, WITH PAD, TIP, HANDGRIP, WITH OR WITHOUT SHOCK ABSORBER, EACH</t>
        </is>
      </c>
      <c r="D260" t="n">
        <v>2</v>
      </c>
      <c r="E260" t="n">
        <v>32.95</v>
      </c>
      <c r="O260">
        <f>IF(P260=H260,IF(ISBLANK(G260),"",F260&amp;" - "&amp;G260),IF(P260=K260,IF(ISBLANK(J260),"",I260&amp;" - "&amp;J260),IF(ISBLANK(M260),"",L260&amp;" - "&amp;M260)))</f>
        <v/>
      </c>
      <c r="P260">
        <f>MIN(H260,K260,N260)</f>
        <v/>
      </c>
      <c r="Q260">
        <f>D260*P260</f>
        <v/>
      </c>
      <c r="R260">
        <f>IF(ISBLANK(E260),0,D260*E260)</f>
        <v/>
      </c>
      <c r="S260">
        <f>IF(R260=0,0,(R260-Q260)/R260)</f>
        <v/>
      </c>
      <c r="T260" t="n">
        <v>50</v>
      </c>
      <c r="U260" t="inlineStr">
        <is>
          <t>LAUNCH_INVENTORY</t>
        </is>
      </c>
    </row>
    <row r="261">
      <c r="A261" t="inlineStr">
        <is>
          <t>E0111</t>
        </is>
      </c>
      <c r="B261" t="inlineStr">
        <is>
          <t>M01</t>
        </is>
      </c>
      <c r="C261" t="inlineStr">
        <is>
          <t>CRUTCH FOREARM, INCLUDES CRUTCHES OF VARIOUS MATERIALS, ADJUSTABLE OR FIXED, EACH, WITH TIP AND HANDGRIPS</t>
        </is>
      </c>
      <c r="D261" t="n">
        <v>2</v>
      </c>
      <c r="E261" t="n">
        <v>70.8</v>
      </c>
      <c r="O261">
        <f>IF(P261=H261,IF(ISBLANK(G261),"",F261&amp;" - "&amp;G261),IF(P261=K261,IF(ISBLANK(J261),"",I261&amp;" - "&amp;J261),IF(ISBLANK(M261),"",L261&amp;" - "&amp;M261)))</f>
        <v/>
      </c>
      <c r="P261">
        <f>MIN(H261,K261,N261)</f>
        <v/>
      </c>
      <c r="Q261">
        <f>D261*P261</f>
        <v/>
      </c>
      <c r="R261">
        <f>IF(ISBLANK(E261),0,D261*E261)</f>
        <v/>
      </c>
      <c r="S261">
        <f>IF(R261=0,0,(R261-Q261)/R261)</f>
        <v/>
      </c>
      <c r="T261" t="n">
        <v>50</v>
      </c>
      <c r="U261" t="inlineStr">
        <is>
          <t>LAUNCH_INVENTORY</t>
        </is>
      </c>
    </row>
    <row r="262">
      <c r="A262" t="inlineStr">
        <is>
          <t>E0144</t>
        </is>
      </c>
      <c r="B262" t="inlineStr">
        <is>
          <t>M05</t>
        </is>
      </c>
      <c r="C262" t="inlineStr">
        <is>
          <t>WALKER, ENCLOSED, FOUR SIDED FRAMED, RIGID OR FOLDING, WHEELED WITH POSTERIOR SEAT</t>
        </is>
      </c>
      <c r="D262" t="n">
        <v>2</v>
      </c>
      <c r="E262" t="n">
        <v>33.46</v>
      </c>
      <c r="O262">
        <f>IF(P262=H262,IF(ISBLANK(G262),"",F262&amp;" - "&amp;G262),IF(P262=K262,IF(ISBLANK(J262),"",I262&amp;" - "&amp;J262),IF(ISBLANK(M262),"",L262&amp;" - "&amp;M262)))</f>
        <v/>
      </c>
      <c r="P262">
        <f>MIN(H262,K262,N262)</f>
        <v/>
      </c>
      <c r="Q262">
        <f>D262*P262</f>
        <v/>
      </c>
      <c r="R262">
        <f>IF(ISBLANK(E262),0,D262*E262)</f>
        <v/>
      </c>
      <c r="S262">
        <f>IF(R262=0,0,(R262-Q262)/R262)</f>
        <v/>
      </c>
      <c r="T262" t="n">
        <v>50</v>
      </c>
      <c r="U262" t="inlineStr">
        <is>
          <t>LAUNCH_INVENTORY</t>
        </is>
      </c>
    </row>
    <row r="263">
      <c r="A263" t="inlineStr">
        <is>
          <t>E0140</t>
        </is>
      </c>
      <c r="B263" t="inlineStr">
        <is>
          <t>M05</t>
        </is>
      </c>
      <c r="C263" t="inlineStr">
        <is>
          <t>WALKER, WITH TRUNK SUPPORT, ADJUSTABLE OR FIXED HEIGHT, ANY TYPE</t>
        </is>
      </c>
      <c r="D263" t="n">
        <v>2</v>
      </c>
      <c r="E263" t="n">
        <v>28.36</v>
      </c>
      <c r="O263">
        <f>IF(P263=H263,IF(ISBLANK(G263),"",F263&amp;" - "&amp;G263),IF(P263=K263,IF(ISBLANK(J263),"",I263&amp;" - "&amp;J263),IF(ISBLANK(M263),"",L263&amp;" - "&amp;M263)))</f>
        <v/>
      </c>
      <c r="P263">
        <f>MIN(H263,K263,N263)</f>
        <v/>
      </c>
      <c r="Q263">
        <f>D263*P263</f>
        <v/>
      </c>
      <c r="R263">
        <f>IF(ISBLANK(E263),0,D263*E263)</f>
        <v/>
      </c>
      <c r="S263">
        <f>IF(R263=0,0,(R263-Q263)/R263)</f>
        <v/>
      </c>
      <c r="T263" t="n">
        <v>50</v>
      </c>
      <c r="U263" t="inlineStr">
        <is>
          <t>LAUNCH_INVENTORY</t>
        </is>
      </c>
    </row>
    <row r="264">
      <c r="A264" t="inlineStr">
        <is>
          <t>E0110</t>
        </is>
      </c>
      <c r="B264" t="inlineStr">
        <is>
          <t>M01</t>
        </is>
      </c>
      <c r="C264" t="inlineStr">
        <is>
          <t>CRUTCHES, FOREARM, INCLUDES CRUTCHES OF VARIOUS MATERIALS, ADJUSTABLE OR FIXED, PAIR, COMPLETE WITH TIPS AND HANDGRIPS</t>
        </is>
      </c>
      <c r="D264" t="n">
        <v>2</v>
      </c>
      <c r="E264" t="n">
        <v>108.41</v>
      </c>
      <c r="O264">
        <f>IF(P264=H264,IF(ISBLANK(G264),"",F264&amp;" - "&amp;G264),IF(P264=K264,IF(ISBLANK(J264),"",I264&amp;" - "&amp;J264),IF(ISBLANK(M264),"",L264&amp;" - "&amp;M264)))</f>
        <v/>
      </c>
      <c r="P264">
        <f>MIN(H264,K264,N264)</f>
        <v/>
      </c>
      <c r="Q264">
        <f>D264*P264</f>
        <v/>
      </c>
      <c r="R264">
        <f>IF(ISBLANK(E264),0,D264*E264)</f>
        <v/>
      </c>
      <c r="S264">
        <f>IF(R264=0,0,(R264-Q264)/R264)</f>
        <v/>
      </c>
      <c r="T264" t="n">
        <v>50</v>
      </c>
      <c r="U264" t="inlineStr">
        <is>
          <t>LAUNCH_INVENTORY</t>
        </is>
      </c>
    </row>
    <row r="265">
      <c r="A265" t="inlineStr">
        <is>
          <t>A4233</t>
        </is>
      </c>
      <c r="B265" t="inlineStr">
        <is>
          <t>DM05</t>
        </is>
      </c>
      <c r="C265" t="inlineStr">
        <is>
          <t>REPLACEMENT BATTERY, ALKALINE (OTHER THAN J CELL), FOR USE WITH MEDICALLY NECESSARY HOME BLOOD GLUCOSE MONITOR OWNED BY PATIENT, EACH</t>
        </is>
      </c>
      <c r="D265" t="n">
        <v>2</v>
      </c>
      <c r="E265" t="n">
        <v>0.51</v>
      </c>
      <c r="O265">
        <f>IF(P265=H265,IF(ISBLANK(G265),"",F265&amp;" - "&amp;G265),IF(P265=K265,IF(ISBLANK(J265),"",I265&amp;" - "&amp;J265),IF(ISBLANK(M265),"",L265&amp;" - "&amp;M265)))</f>
        <v/>
      </c>
      <c r="P265">
        <f>MIN(H265,K265,N265)</f>
        <v/>
      </c>
      <c r="Q265">
        <f>D265*P265</f>
        <v/>
      </c>
      <c r="R265">
        <f>IF(ISBLANK(E265),0,D265*E265)</f>
        <v/>
      </c>
      <c r="S265">
        <f>IF(R265=0,0,(R265-Q265)/R265)</f>
        <v/>
      </c>
      <c r="T265" t="n">
        <v>50</v>
      </c>
      <c r="U265" t="inlineStr">
        <is>
          <t>LAUNCH_INVENTORY</t>
        </is>
      </c>
    </row>
    <row r="266">
      <c r="A266" t="inlineStr">
        <is>
          <t>E0105</t>
        </is>
      </c>
      <c r="B266" t="inlineStr">
        <is>
          <t>M01</t>
        </is>
      </c>
      <c r="C266" t="inlineStr">
        <is>
          <t>CANE, QUAD OR THREE PRONG, INCLUDES CANES OF ALL MATERIALS, ADJUSTABLE OR FIXED, WITH TIPS</t>
        </is>
      </c>
      <c r="D266" t="n">
        <v>2</v>
      </c>
      <c r="E266" t="n">
        <v>68.63</v>
      </c>
      <c r="O266">
        <f>IF(P266=H266,IF(ISBLANK(G266),"",F266&amp;" - "&amp;G266),IF(P266=K266,IF(ISBLANK(J266),"",I266&amp;" - "&amp;J266),IF(ISBLANK(M266),"",L266&amp;" - "&amp;M266)))</f>
        <v/>
      </c>
      <c r="P266">
        <f>MIN(H266,K266,N266)</f>
        <v/>
      </c>
      <c r="Q266">
        <f>D266*P266</f>
        <v/>
      </c>
      <c r="R266">
        <f>IF(ISBLANK(E266),0,D266*E266)</f>
        <v/>
      </c>
      <c r="S266">
        <f>IF(R266=0,0,(R266-Q266)/R266)</f>
        <v/>
      </c>
      <c r="T266" t="n">
        <v>50</v>
      </c>
      <c r="U266" t="inlineStr">
        <is>
          <t>LAUNCH_INVENTORY</t>
        </is>
      </c>
    </row>
    <row r="267">
      <c r="A267" t="inlineStr">
        <is>
          <t>E0100</t>
        </is>
      </c>
      <c r="B267" t="inlineStr">
        <is>
          <t>M01</t>
        </is>
      </c>
      <c r="C267" t="inlineStr">
        <is>
          <t>CANE, INCLUDES CANES OF ALL MATERIALS, ADJUSTABLE OR FIXED, WITH TIP</t>
        </is>
      </c>
      <c r="D267" t="n">
        <v>2</v>
      </c>
      <c r="E267" t="n">
        <v>29.45</v>
      </c>
      <c r="O267">
        <f>IF(P267=H267,IF(ISBLANK(G267),"",F267&amp;" - "&amp;G267),IF(P267=K267,IF(ISBLANK(J267),"",I267&amp;" - "&amp;J267),IF(ISBLANK(M267),"",L267&amp;" - "&amp;M267)))</f>
        <v/>
      </c>
      <c r="P267">
        <f>MIN(H267,K267,N267)</f>
        <v/>
      </c>
      <c r="Q267">
        <f>D267*P267</f>
        <v/>
      </c>
      <c r="R267">
        <f>IF(ISBLANK(E267),0,D267*E267)</f>
        <v/>
      </c>
      <c r="S267">
        <f>IF(R267=0,0,(R267-Q267)/R267)</f>
        <v/>
      </c>
      <c r="T267" t="n">
        <v>50</v>
      </c>
      <c r="U267" t="inlineStr">
        <is>
          <t>LAUNCH_INVENTORY</t>
        </is>
      </c>
    </row>
    <row r="268">
      <c r="A268" t="inlineStr">
        <is>
          <t>A4637</t>
        </is>
      </c>
      <c r="B268" t="inlineStr">
        <is>
          <t>M01</t>
        </is>
      </c>
      <c r="C268" t="inlineStr">
        <is>
          <t>REPLACEMENT, TIP, CANE, CRUTCH, WALKER, EACH.</t>
        </is>
      </c>
      <c r="D268" t="n">
        <v>2</v>
      </c>
      <c r="E268" t="n">
        <v>2.14</v>
      </c>
      <c r="O268">
        <f>IF(P268=H268,IF(ISBLANK(G268),"",F268&amp;" - "&amp;G268),IF(P268=K268,IF(ISBLANK(J268),"",I268&amp;" - "&amp;J268),IF(ISBLANK(M268),"",L268&amp;" - "&amp;M268)))</f>
        <v/>
      </c>
      <c r="P268">
        <f>MIN(H268,K268,N268)</f>
        <v/>
      </c>
      <c r="Q268">
        <f>D268*P268</f>
        <v/>
      </c>
      <c r="R268">
        <f>IF(ISBLANK(E268),0,D268*E268)</f>
        <v/>
      </c>
      <c r="S268">
        <f>IF(R268=0,0,(R268-Q268)/R268)</f>
        <v/>
      </c>
      <c r="T268" t="n">
        <v>50</v>
      </c>
      <c r="U268" t="inlineStr">
        <is>
          <t>LAUNCH_INVENTORY</t>
        </is>
      </c>
    </row>
    <row r="269">
      <c r="A269" t="inlineStr">
        <is>
          <t>A4635</t>
        </is>
      </c>
      <c r="B269" t="inlineStr">
        <is>
          <t>M01</t>
        </is>
      </c>
      <c r="C269" t="inlineStr">
        <is>
          <t>UNDERARM PAD, CRUTCH, REPLACEMENT, EACH</t>
        </is>
      </c>
      <c r="D269" t="n">
        <v>2</v>
      </c>
      <c r="E269" t="n">
        <v>7.14</v>
      </c>
      <c r="O269">
        <f>IF(P269=H269,IF(ISBLANK(G269),"",F269&amp;" - "&amp;G269),IF(P269=K269,IF(ISBLANK(J269),"",I269&amp;" - "&amp;J269),IF(ISBLANK(M269),"",L269&amp;" - "&amp;M269)))</f>
        <v/>
      </c>
      <c r="P269">
        <f>MIN(H269,K269,N269)</f>
        <v/>
      </c>
      <c r="Q269">
        <f>D269*P269</f>
        <v/>
      </c>
      <c r="R269">
        <f>IF(ISBLANK(E269),0,D269*E269)</f>
        <v/>
      </c>
      <c r="S269">
        <f>IF(R269=0,0,(R269-Q269)/R269)</f>
        <v/>
      </c>
      <c r="T269" t="n">
        <v>50</v>
      </c>
      <c r="U269" t="inlineStr">
        <is>
          <t>LAUNCH_INVENTORY</t>
        </is>
      </c>
    </row>
    <row r="270">
      <c r="A270" t="inlineStr">
        <is>
          <t>E0135</t>
        </is>
      </c>
      <c r="B270" t="inlineStr">
        <is>
          <t>M05</t>
        </is>
      </c>
      <c r="C270" t="inlineStr">
        <is>
          <t>WALKER, FOLDING (PICKUP), ADJUSTABLE OR FIXED HEIGHT</t>
        </is>
      </c>
      <c r="D270" t="n">
        <v>2</v>
      </c>
      <c r="E270" t="n">
        <v>51.36</v>
      </c>
      <c r="O270">
        <f>IF(P270=H270,IF(ISBLANK(G270),"",F270&amp;" - "&amp;G270),IF(P270=K270,IF(ISBLANK(J270),"",I270&amp;" - "&amp;J270),IF(ISBLANK(M270),"",L270&amp;" - "&amp;M270)))</f>
        <v/>
      </c>
      <c r="P270">
        <f>MIN(H270,K270,N270)</f>
        <v/>
      </c>
      <c r="Q270">
        <f>D270*P270</f>
        <v/>
      </c>
      <c r="R270">
        <f>IF(ISBLANK(E270),0,D270*E270)</f>
        <v/>
      </c>
      <c r="S270">
        <f>IF(R270=0,0,(R270-Q270)/R270)</f>
        <v/>
      </c>
      <c r="T270" t="n">
        <v>50</v>
      </c>
      <c r="U270" t="inlineStr">
        <is>
          <t>LAUNCH_INVENTORY</t>
        </is>
      </c>
    </row>
    <row r="271">
      <c r="A271" t="inlineStr">
        <is>
          <t>K0009</t>
        </is>
      </c>
      <c r="B271" t="inlineStr">
        <is>
          <t>M06</t>
        </is>
      </c>
      <c r="C271" t="inlineStr">
        <is>
          <t>OTHER MANUAL WHEELCHAIR/BASE</t>
        </is>
      </c>
      <c r="D271" t="n">
        <v>2</v>
      </c>
      <c r="E271" t="n">
        <v>99.86</v>
      </c>
      <c r="O271">
        <f>IF(P271=H271,IF(ISBLANK(G271),"",F271&amp;" - "&amp;G271),IF(P271=K271,IF(ISBLANK(J271),"",I271&amp;" - "&amp;J271),IF(ISBLANK(M271),"",L271&amp;" - "&amp;M271)))</f>
        <v/>
      </c>
      <c r="P271">
        <f>MIN(H271,K271,N271)</f>
        <v/>
      </c>
      <c r="Q271">
        <f>D271*P271</f>
        <v/>
      </c>
      <c r="R271">
        <f>IF(ISBLANK(E271),0,D271*E271)</f>
        <v/>
      </c>
      <c r="S271">
        <f>IF(R271=0,0,(R271-Q271)/R271)</f>
        <v/>
      </c>
      <c r="T271" t="n">
        <v>50</v>
      </c>
      <c r="U271" t="inlineStr">
        <is>
          <t>LAUNCH_INVENTORY</t>
        </is>
      </c>
    </row>
    <row r="272">
      <c r="A272" t="inlineStr">
        <is>
          <t>K0007</t>
        </is>
      </c>
      <c r="B272" t="inlineStr">
        <is>
          <t>M06</t>
        </is>
      </c>
      <c r="C272" t="inlineStr">
        <is>
          <t>EXTRA HEAVY DUTY WHEELCHAIR</t>
        </is>
      </c>
      <c r="D272" t="n">
        <v>2</v>
      </c>
      <c r="E272" t="n">
        <v>88.59</v>
      </c>
      <c r="O272">
        <f>IF(P272=H272,IF(ISBLANK(G272),"",F272&amp;" - "&amp;G272),IF(P272=K272,IF(ISBLANK(J272),"",I272&amp;" - "&amp;J272),IF(ISBLANK(M272),"",L272&amp;" - "&amp;M272)))</f>
        <v/>
      </c>
      <c r="P272">
        <f>MIN(H272,K272,N272)</f>
        <v/>
      </c>
      <c r="Q272">
        <f>D272*P272</f>
        <v/>
      </c>
      <c r="R272">
        <f>IF(ISBLANK(E272),0,D272*E272)</f>
        <v/>
      </c>
      <c r="S272">
        <f>IF(R272=0,0,(R272-Q272)/R272)</f>
        <v/>
      </c>
      <c r="T272" t="n">
        <v>50</v>
      </c>
      <c r="U272" t="inlineStr">
        <is>
          <t>LAUNCH_INVENTORY</t>
        </is>
      </c>
    </row>
    <row r="273">
      <c r="A273" t="inlineStr">
        <is>
          <t>E0148</t>
        </is>
      </c>
      <c r="B273" t="inlineStr">
        <is>
          <t>M05</t>
        </is>
      </c>
      <c r="C273" t="inlineStr">
        <is>
          <t>WALKER, HEAVY DUTY, WITHOUT WHEELS, RIGID OR FOLDING, ANY TYPE, EACH</t>
        </is>
      </c>
      <c r="D273" t="n">
        <v>2</v>
      </c>
      <c r="E273" t="n">
        <v>87.43000000000001</v>
      </c>
      <c r="O273">
        <f>IF(P273=H273,IF(ISBLANK(G273),"",F273&amp;" - "&amp;G273),IF(P273=K273,IF(ISBLANK(J273),"",I273&amp;" - "&amp;J273),IF(ISBLANK(M273),"",L273&amp;" - "&amp;M273)))</f>
        <v/>
      </c>
      <c r="P273">
        <f>MIN(H273,K273,N273)</f>
        <v/>
      </c>
      <c r="Q273">
        <f>D273*P273</f>
        <v/>
      </c>
      <c r="R273">
        <f>IF(ISBLANK(E273),0,D273*E273)</f>
        <v/>
      </c>
      <c r="S273">
        <f>IF(R273=0,0,(R273-Q273)/R273)</f>
        <v/>
      </c>
      <c r="T273" t="n">
        <v>50</v>
      </c>
      <c r="U273" t="inlineStr">
        <is>
          <t>LAUNCH_INVENTORY</t>
        </is>
      </c>
    </row>
    <row r="274">
      <c r="A274" t="inlineStr">
        <is>
          <t>E0149</t>
        </is>
      </c>
      <c r="B274" t="inlineStr">
        <is>
          <t>M05</t>
        </is>
      </c>
      <c r="C274" t="inlineStr">
        <is>
          <t>WALKER, HEAVY DUTY, WHEELED, RIGID OR FOLDING, ANY TYPE</t>
        </is>
      </c>
      <c r="D274" t="n">
        <v>2</v>
      </c>
      <c r="E274" t="n">
        <v>12</v>
      </c>
      <c r="O274">
        <f>IF(P274=H274,IF(ISBLANK(G274),"",F274&amp;" - "&amp;G274),IF(P274=K274,IF(ISBLANK(J274),"",I274&amp;" - "&amp;J274),IF(ISBLANK(M274),"",L274&amp;" - "&amp;M274)))</f>
        <v/>
      </c>
      <c r="P274">
        <f>MIN(H274,K274,N274)</f>
        <v/>
      </c>
      <c r="Q274">
        <f>D274*P274</f>
        <v/>
      </c>
      <c r="R274">
        <f>IF(ISBLANK(E274),0,D274*E274)</f>
        <v/>
      </c>
      <c r="S274">
        <f>IF(R274=0,0,(R274-Q274)/R274)</f>
        <v/>
      </c>
      <c r="T274" t="n">
        <v>50</v>
      </c>
      <c r="U274" t="inlineStr">
        <is>
          <t>LAUNCH_INVENTORY</t>
        </is>
      </c>
    </row>
    <row r="275">
      <c r="A275" t="inlineStr">
        <is>
          <t>E0153</t>
        </is>
      </c>
      <c r="B275" t="inlineStr">
        <is>
          <t>M01</t>
        </is>
      </c>
      <c r="C275" t="inlineStr">
        <is>
          <t>PLATFORM ATTACHMENT, FOREARM CRUTCH, EACH</t>
        </is>
      </c>
      <c r="D275" t="n">
        <v>2</v>
      </c>
      <c r="E275" t="n">
        <v>96.95999999999999</v>
      </c>
      <c r="O275">
        <f>IF(P275=H275,IF(ISBLANK(G275),"",F275&amp;" - "&amp;G275),IF(P275=K275,IF(ISBLANK(J275),"",I275&amp;" - "&amp;J275),IF(ISBLANK(M275),"",L275&amp;" - "&amp;M275)))</f>
        <v/>
      </c>
      <c r="P275">
        <f>MIN(H275,K275,N275)</f>
        <v/>
      </c>
      <c r="Q275">
        <f>D275*P275</f>
        <v/>
      </c>
      <c r="R275">
        <f>IF(ISBLANK(E275),0,D275*E275)</f>
        <v/>
      </c>
      <c r="S275">
        <f>IF(R275=0,0,(R275-Q275)/R275)</f>
        <v/>
      </c>
      <c r="T275" t="n">
        <v>50</v>
      </c>
      <c r="U275" t="inlineStr">
        <is>
          <t>LAUNCH_INVENTORY</t>
        </is>
      </c>
    </row>
    <row r="276">
      <c r="A276" t="inlineStr">
        <is>
          <t>E0117</t>
        </is>
      </c>
      <c r="B276" t="inlineStr">
        <is>
          <t>M01</t>
        </is>
      </c>
      <c r="C276" t="inlineStr">
        <is>
          <t>CRUTCH, UNDERARM, ARTICULATING, SPRING ASSISTED, EACH</t>
        </is>
      </c>
      <c r="D276" t="n">
        <v>2</v>
      </c>
      <c r="E276" t="n">
        <v>26.91</v>
      </c>
      <c r="O276">
        <f>IF(P276=H276,IF(ISBLANK(G276),"",F276&amp;" - "&amp;G276),IF(P276=K276,IF(ISBLANK(J276),"",I276&amp;" - "&amp;J276),IF(ISBLANK(M276),"",L276&amp;" - "&amp;M276)))</f>
        <v/>
      </c>
      <c r="P276">
        <f>MIN(H276,K276,N276)</f>
        <v/>
      </c>
      <c r="Q276">
        <f>D276*P276</f>
        <v/>
      </c>
      <c r="R276">
        <f>IF(ISBLANK(E276),0,D276*E276)</f>
        <v/>
      </c>
      <c r="S276">
        <f>IF(R276=0,0,(R276-Q276)/R276)</f>
        <v/>
      </c>
      <c r="T276" t="n">
        <v>50</v>
      </c>
      <c r="U276" t="inlineStr">
        <is>
          <t>LAUNCH_INVENTORY</t>
        </is>
      </c>
    </row>
    <row r="277">
      <c r="A277" t="inlineStr">
        <is>
          <t>E0159</t>
        </is>
      </c>
      <c r="B277" t="inlineStr">
        <is>
          <t>M05</t>
        </is>
      </c>
      <c r="C277" t="inlineStr">
        <is>
          <t>BRAKE ATTACHMENT FOR WHEELED WALKER, REPLACEMENT, EACH</t>
        </is>
      </c>
      <c r="D277" t="n">
        <v>2</v>
      </c>
      <c r="E277" t="n">
        <v>14.98</v>
      </c>
      <c r="O277">
        <f>IF(P277=H277,IF(ISBLANK(G277),"",F277&amp;" - "&amp;G277),IF(P277=K277,IF(ISBLANK(J277),"",I277&amp;" - "&amp;J277),IF(ISBLANK(M277),"",L277&amp;" - "&amp;M277)))</f>
        <v/>
      </c>
      <c r="P277">
        <f>MIN(H277,K277,N277)</f>
        <v/>
      </c>
      <c r="Q277">
        <f>D277*P277</f>
        <v/>
      </c>
      <c r="R277">
        <f>IF(ISBLANK(E277),0,D277*E277)</f>
        <v/>
      </c>
      <c r="S277">
        <f>IF(R277=0,0,(R277-Q277)/R277)</f>
        <v/>
      </c>
      <c r="T277" t="n">
        <v>50</v>
      </c>
      <c r="U277" t="inlineStr">
        <is>
          <t>LAUNCH_INVENTORY</t>
        </is>
      </c>
    </row>
    <row r="278">
      <c r="A278" t="inlineStr">
        <is>
          <t>E1031</t>
        </is>
      </c>
      <c r="B278" t="inlineStr">
        <is>
          <t>M06</t>
        </is>
      </c>
      <c r="C278" t="inlineStr">
        <is>
          <t>ROLLABOUT CHAIR, ANY AND ALL TYPES WITH CASTERS 5" OR GREATER</t>
        </is>
      </c>
      <c r="D278" t="n">
        <v>2</v>
      </c>
      <c r="E278" t="n">
        <v>43.29</v>
      </c>
      <c r="O278">
        <f>IF(P278=H278,IF(ISBLANK(G278),"",F278&amp;" - "&amp;G278),IF(P278=K278,IF(ISBLANK(J278),"",I278&amp;" - "&amp;J278),IF(ISBLANK(M278),"",L278&amp;" - "&amp;M278)))</f>
        <v/>
      </c>
      <c r="P278">
        <f>MIN(H278,K278,N278)</f>
        <v/>
      </c>
      <c r="Q278">
        <f>D278*P278</f>
        <v/>
      </c>
      <c r="R278">
        <f>IF(ISBLANK(E278),0,D278*E278)</f>
        <v/>
      </c>
      <c r="S278">
        <f>IF(R278=0,0,(R278-Q278)/R278)</f>
        <v/>
      </c>
      <c r="T278" t="n">
        <v>50</v>
      </c>
      <c r="U278" t="inlineStr">
        <is>
          <t>LAUNCH_INVENTORY</t>
        </is>
      </c>
    </row>
    <row r="279">
      <c r="A279" t="inlineStr">
        <is>
          <t>E0147</t>
        </is>
      </c>
      <c r="B279" t="inlineStr">
        <is>
          <t>M05</t>
        </is>
      </c>
      <c r="C279" t="inlineStr">
        <is>
          <t>WALKER, HEAVY DUTY, MULTIPLE BRAKING SYSTEM, VARIABLE WHEEL RESISTANCE</t>
        </is>
      </c>
      <c r="D279" t="n">
        <v>2</v>
      </c>
      <c r="E279" t="n">
        <v>479.72</v>
      </c>
      <c r="O279">
        <f>IF(P279=H279,IF(ISBLANK(G279),"",F279&amp;" - "&amp;G279),IF(P279=K279,IF(ISBLANK(J279),"",I279&amp;" - "&amp;J279),IF(ISBLANK(M279),"",L279&amp;" - "&amp;M279)))</f>
        <v/>
      </c>
      <c r="P279">
        <f>MIN(H279,K279,N279)</f>
        <v/>
      </c>
      <c r="Q279">
        <f>D279*P279</f>
        <v/>
      </c>
      <c r="R279">
        <f>IF(ISBLANK(E279),0,D279*E279)</f>
        <v/>
      </c>
      <c r="S279">
        <f>IF(R279=0,0,(R279-Q279)/R279)</f>
        <v/>
      </c>
      <c r="T279" t="n">
        <v>50</v>
      </c>
      <c r="U279" t="inlineStr">
        <is>
          <t>LAUNCH_INVENTORY</t>
        </is>
      </c>
    </row>
    <row r="280">
      <c r="A280" t="inlineStr">
        <is>
          <t>E0112</t>
        </is>
      </c>
      <c r="B280" t="inlineStr">
        <is>
          <t>M01</t>
        </is>
      </c>
      <c r="C280" t="inlineStr">
        <is>
          <t>CRUTCHES UNDERARM, WOOD, ADJUSTABLE OR FIXED, PAIR, WITH PADS, TIPS AND HANDGRIPS</t>
        </is>
      </c>
      <c r="D280" t="n">
        <v>2</v>
      </c>
      <c r="E280" t="n">
        <v>51.71</v>
      </c>
      <c r="O280">
        <f>IF(P280=H280,IF(ISBLANK(G280),"",F280&amp;" - "&amp;G280),IF(P280=K280,IF(ISBLANK(J280),"",I280&amp;" - "&amp;J280),IF(ISBLANK(M280),"",L280&amp;" - "&amp;M280)))</f>
        <v/>
      </c>
      <c r="P280">
        <f>MIN(H280,K280,N280)</f>
        <v/>
      </c>
      <c r="Q280">
        <f>D280*P280</f>
        <v/>
      </c>
      <c r="R280">
        <f>IF(ISBLANK(E280),0,D280*E280)</f>
        <v/>
      </c>
      <c r="S280">
        <f>IF(R280=0,0,(R280-Q280)/R280)</f>
        <v/>
      </c>
      <c r="T280" t="n">
        <v>50</v>
      </c>
      <c r="U280" t="inlineStr">
        <is>
          <t>LAUNCH_INVENTORY</t>
        </is>
      </c>
    </row>
    <row r="281">
      <c r="A281" t="inlineStr">
        <is>
          <t>A4636</t>
        </is>
      </c>
      <c r="B281" t="inlineStr">
        <is>
          <t>M01</t>
        </is>
      </c>
      <c r="C281" t="inlineStr">
        <is>
          <t>REPLACEMENT, HANDGRIP, CANE, CRUTCH, OR WALKER, EACH</t>
        </is>
      </c>
      <c r="D281" t="n">
        <v>2</v>
      </c>
      <c r="E281" t="n">
        <v>3.86</v>
      </c>
      <c r="O281">
        <f>IF(P281=H281,IF(ISBLANK(G281),"",F281&amp;" - "&amp;G281),IF(P281=K281,IF(ISBLANK(J281),"",I281&amp;" - "&amp;J281),IF(ISBLANK(M281),"",L281&amp;" - "&amp;M281)))</f>
        <v/>
      </c>
      <c r="P281">
        <f>MIN(H281,K281,N281)</f>
        <v/>
      </c>
      <c r="Q281">
        <f>D281*P281</f>
        <v/>
      </c>
      <c r="R281">
        <f>IF(ISBLANK(E281),0,D281*E281)</f>
        <v/>
      </c>
      <c r="S281">
        <f>IF(R281=0,0,(R281-Q281)/R281)</f>
        <v/>
      </c>
      <c r="T281" t="n">
        <v>50</v>
      </c>
      <c r="U281" t="inlineStr">
        <is>
          <t>LAUNCH_INVENTORY</t>
        </is>
      </c>
    </row>
    <row r="282">
      <c r="A282" t="inlineStr">
        <is>
          <t>A4637</t>
        </is>
      </c>
      <c r="B282" t="inlineStr">
        <is>
          <t>M05</t>
        </is>
      </c>
      <c r="C282" t="inlineStr">
        <is>
          <t>REPLACEMENT, TIP, CANE, CRUTCH, WALKER, EACH.</t>
        </is>
      </c>
      <c r="D282" t="n">
        <v>2</v>
      </c>
      <c r="E282" t="n">
        <v>2.14</v>
      </c>
      <c r="O282">
        <f>IF(P282=H282,IF(ISBLANK(G282),"",F282&amp;" - "&amp;G282),IF(P282=K282,IF(ISBLANK(J282),"",I282&amp;" - "&amp;J282),IF(ISBLANK(M282),"",L282&amp;" - "&amp;M282)))</f>
        <v/>
      </c>
      <c r="P282">
        <f>MIN(H282,K282,N282)</f>
        <v/>
      </c>
      <c r="Q282">
        <f>D282*P282</f>
        <v/>
      </c>
      <c r="R282">
        <f>IF(ISBLANK(E282),0,D282*E282)</f>
        <v/>
      </c>
      <c r="S282">
        <f>IF(R282=0,0,(R282-Q282)/R282)</f>
        <v/>
      </c>
      <c r="T282" t="n">
        <v>50</v>
      </c>
      <c r="U282" t="inlineStr">
        <is>
          <t>LAUNCH_INVENTORY</t>
        </is>
      </c>
    </row>
    <row r="283">
      <c r="A283" t="inlineStr">
        <is>
          <t>E1037</t>
        </is>
      </c>
      <c r="B283" t="inlineStr">
        <is>
          <t>M06</t>
        </is>
      </c>
      <c r="C283" t="inlineStr">
        <is>
          <t>TRANSPORT CHAIR, PEDIATRIC SIZE</t>
        </is>
      </c>
      <c r="D283" t="n">
        <v>2</v>
      </c>
      <c r="E283" t="n">
        <v>112.93</v>
      </c>
      <c r="O283">
        <f>IF(P283=H283,IF(ISBLANK(G283),"",F283&amp;" - "&amp;G283),IF(P283=K283,IF(ISBLANK(J283),"",I283&amp;" - "&amp;J283),IF(ISBLANK(M283),"",L283&amp;" - "&amp;M283)))</f>
        <v/>
      </c>
      <c r="P283">
        <f>MIN(H283,K283,N283)</f>
        <v/>
      </c>
      <c r="Q283">
        <f>D283*P283</f>
        <v/>
      </c>
      <c r="R283">
        <f>IF(ISBLANK(E283),0,D283*E283)</f>
        <v/>
      </c>
      <c r="S283">
        <f>IF(R283=0,0,(R283-Q283)/R283)</f>
        <v/>
      </c>
      <c r="T283" t="n">
        <v>50</v>
      </c>
      <c r="U283" t="inlineStr">
        <is>
          <t>LAUNCH_INVENTORY</t>
        </is>
      </c>
    </row>
    <row r="284">
      <c r="A284" t="inlineStr">
        <is>
          <t>E0113</t>
        </is>
      </c>
      <c r="B284" t="inlineStr">
        <is>
          <t>M01</t>
        </is>
      </c>
      <c r="C284" t="inlineStr">
        <is>
          <t>CRUTCH UNDERARM, WOOD, ADJUSTABLE OR FIXED, EACH, WITH PAD, TIP AND HANDGRIP</t>
        </is>
      </c>
      <c r="D284" t="n">
        <v>2</v>
      </c>
      <c r="E284" t="n">
        <v>29.54</v>
      </c>
      <c r="O284">
        <f>IF(P284=H284,IF(ISBLANK(G284),"",F284&amp;" - "&amp;G284),IF(P284=K284,IF(ISBLANK(J284),"",I284&amp;" - "&amp;J284),IF(ISBLANK(M284),"",L284&amp;" - "&amp;M284)))</f>
        <v/>
      </c>
      <c r="P284">
        <f>MIN(H284,K284,N284)</f>
        <v/>
      </c>
      <c r="Q284">
        <f>D284*P284</f>
        <v/>
      </c>
      <c r="R284">
        <f>IF(ISBLANK(E284),0,D284*E284)</f>
        <v/>
      </c>
      <c r="S284">
        <f>IF(R284=0,0,(R284-Q284)/R284)</f>
        <v/>
      </c>
      <c r="T284" t="n">
        <v>50</v>
      </c>
      <c r="U284" t="inlineStr">
        <is>
          <t>LAUNCH_INVENTORY</t>
        </is>
      </c>
    </row>
    <row r="285">
      <c r="A285" t="inlineStr">
        <is>
          <t>E0141</t>
        </is>
      </c>
      <c r="B285" t="inlineStr">
        <is>
          <t>M05</t>
        </is>
      </c>
      <c r="C285" t="inlineStr">
        <is>
          <t>WALKER, RIGID, WHEELED, ADJUSTABLE OR FIXED HEIGHT</t>
        </is>
      </c>
      <c r="D285" t="n">
        <v>2</v>
      </c>
      <c r="E285" t="n">
        <v>76.64</v>
      </c>
      <c r="O285">
        <f>IF(P285=H285,IF(ISBLANK(G285),"",F285&amp;" - "&amp;G285),IF(P285=K285,IF(ISBLANK(J285),"",I285&amp;" - "&amp;J285),IF(ISBLANK(M285),"",L285&amp;" - "&amp;M285)))</f>
        <v/>
      </c>
      <c r="P285">
        <f>MIN(H285,K285,N285)</f>
        <v/>
      </c>
      <c r="Q285">
        <f>D285*P285</f>
        <v/>
      </c>
      <c r="R285">
        <f>IF(ISBLANK(E285),0,D285*E285)</f>
        <v/>
      </c>
      <c r="S285">
        <f>IF(R285=0,0,(R285-Q285)/R285)</f>
        <v/>
      </c>
      <c r="T285" t="n">
        <v>50</v>
      </c>
      <c r="U285" t="inlineStr">
        <is>
          <t>LAUNCH_INVENTORY</t>
        </is>
      </c>
    </row>
    <row r="286">
      <c r="A286" t="inlineStr">
        <is>
          <t>E1038</t>
        </is>
      </c>
      <c r="B286" t="inlineStr">
        <is>
          <t>M06</t>
        </is>
      </c>
      <c r="C286" t="inlineStr">
        <is>
          <t>TRANSPORT CHAIR, ADULT SIZE, PATIENT WEIGHT CAPACITY UP TO AND INCLUDING 300 POUNDS</t>
        </is>
      </c>
      <c r="D286" t="n">
        <v>2</v>
      </c>
      <c r="E286" t="n">
        <v>14.18</v>
      </c>
      <c r="O286">
        <f>IF(P286=H286,IF(ISBLANK(G286),"",F286&amp;" - "&amp;G286),IF(P286=K286,IF(ISBLANK(J286),"",I286&amp;" - "&amp;J286),IF(ISBLANK(M286),"",L286&amp;" - "&amp;M286)))</f>
        <v/>
      </c>
      <c r="P286">
        <f>MIN(H286,K286,N286)</f>
        <v/>
      </c>
      <c r="Q286">
        <f>D286*P286</f>
        <v/>
      </c>
      <c r="R286">
        <f>IF(ISBLANK(E286),0,D286*E286)</f>
        <v/>
      </c>
      <c r="S286">
        <f>IF(R286=0,0,(R286-Q286)/R286)</f>
        <v/>
      </c>
      <c r="T286" t="n">
        <v>50</v>
      </c>
      <c r="U286" t="inlineStr">
        <is>
          <t>LAUNCH_INVENTORY</t>
        </is>
      </c>
    </row>
    <row r="287">
      <c r="A287" t="inlineStr">
        <is>
          <t>E0156</t>
        </is>
      </c>
      <c r="B287" t="inlineStr">
        <is>
          <t>M05</t>
        </is>
      </c>
      <c r="C287" t="inlineStr">
        <is>
          <t>SEAT ATTACHMENT, WALKER</t>
        </is>
      </c>
      <c r="D287" t="n">
        <v>2</v>
      </c>
      <c r="E287" t="n">
        <v>16.11</v>
      </c>
      <c r="O287">
        <f>IF(P287=H287,IF(ISBLANK(G287),"",F287&amp;" - "&amp;G287),IF(P287=K287,IF(ISBLANK(J287),"",I287&amp;" - "&amp;J287),IF(ISBLANK(M287),"",L287&amp;" - "&amp;M287)))</f>
        <v/>
      </c>
      <c r="P287">
        <f>MIN(H287,K287,N287)</f>
        <v/>
      </c>
      <c r="Q287">
        <f>D287*P287</f>
        <v/>
      </c>
      <c r="R287">
        <f>IF(ISBLANK(E287),0,D287*E287)</f>
        <v/>
      </c>
      <c r="S287">
        <f>IF(R287=0,0,(R287-Q287)/R287)</f>
        <v/>
      </c>
      <c r="T287" t="n">
        <v>50</v>
      </c>
      <c r="U287" t="inlineStr">
        <is>
          <t>LAUNCH_INVENTORY</t>
        </is>
      </c>
    </row>
    <row r="288">
      <c r="A288" t="inlineStr">
        <is>
          <t>E0155</t>
        </is>
      </c>
      <c r="B288" t="inlineStr">
        <is>
          <t>M05</t>
        </is>
      </c>
      <c r="C288" t="inlineStr">
        <is>
          <t>WHEEL ATTACHMENT, RIGID PICK-UP WALKER, PER PAIR</t>
        </is>
      </c>
      <c r="D288" t="n">
        <v>2</v>
      </c>
      <c r="E288" t="n">
        <v>23.73</v>
      </c>
      <c r="O288">
        <f>IF(P288=H288,IF(ISBLANK(G288),"",F288&amp;" - "&amp;G288),IF(P288=K288,IF(ISBLANK(J288),"",I288&amp;" - "&amp;J288),IF(ISBLANK(M288),"",L288&amp;" - "&amp;M288)))</f>
        <v/>
      </c>
      <c r="P288">
        <f>MIN(H288,K288,N288)</f>
        <v/>
      </c>
      <c r="Q288">
        <f>D288*P288</f>
        <v/>
      </c>
      <c r="R288">
        <f>IF(ISBLANK(E288),0,D288*E288)</f>
        <v/>
      </c>
      <c r="S288">
        <f>IF(R288=0,0,(R288-Q288)/R288)</f>
        <v/>
      </c>
      <c r="T288" t="n">
        <v>50</v>
      </c>
      <c r="U288" t="inlineStr">
        <is>
          <t>LAUNCH_INVENTORY</t>
        </is>
      </c>
    </row>
    <row r="289">
      <c r="A289" t="inlineStr">
        <is>
          <t>E0158</t>
        </is>
      </c>
      <c r="B289" t="inlineStr">
        <is>
          <t>M05</t>
        </is>
      </c>
      <c r="C289" t="inlineStr">
        <is>
          <t>LEG EXTENSIONS FOR WALKER, PER SET OF FOUR (4)</t>
        </is>
      </c>
      <c r="D289" t="n">
        <v>2</v>
      </c>
      <c r="E289" t="n">
        <v>22.49</v>
      </c>
      <c r="O289">
        <f>IF(P289=H289,IF(ISBLANK(G289),"",F289&amp;" - "&amp;G289),IF(P289=K289,IF(ISBLANK(J289),"",I289&amp;" - "&amp;J289),IF(ISBLANK(M289),"",L289&amp;" - "&amp;M289)))</f>
        <v/>
      </c>
      <c r="P289">
        <f>MIN(H289,K289,N289)</f>
        <v/>
      </c>
      <c r="Q289">
        <f>D289*P289</f>
        <v/>
      </c>
      <c r="R289">
        <f>IF(ISBLANK(E289),0,D289*E289)</f>
        <v/>
      </c>
      <c r="S289">
        <f>IF(R289=0,0,(R289-Q289)/R289)</f>
        <v/>
      </c>
      <c r="T289" t="n">
        <v>50</v>
      </c>
      <c r="U289" t="inlineStr">
        <is>
          <t>LAUNCH_INVENTORY</t>
        </is>
      </c>
    </row>
    <row r="290">
      <c r="A290" t="inlineStr">
        <is>
          <t>E0157</t>
        </is>
      </c>
      <c r="B290" t="inlineStr">
        <is>
          <t>M05</t>
        </is>
      </c>
      <c r="C290" t="inlineStr">
        <is>
          <t>CRUTCH ATTACHMENT, WALKER, EACH</t>
        </is>
      </c>
      <c r="D290" t="n">
        <v>2</v>
      </c>
      <c r="E290" t="n">
        <v>56.73</v>
      </c>
      <c r="O290">
        <f>IF(P290=H290,IF(ISBLANK(G290),"",F290&amp;" - "&amp;G290),IF(P290=K290,IF(ISBLANK(J290),"",I290&amp;" - "&amp;J290),IF(ISBLANK(M290),"",L290&amp;" - "&amp;M290)))</f>
        <v/>
      </c>
      <c r="P290">
        <f>MIN(H290,K290,N290)</f>
        <v/>
      </c>
      <c r="Q290">
        <f>D290*P290</f>
        <v/>
      </c>
      <c r="R290">
        <f>IF(ISBLANK(E290),0,D290*E290)</f>
        <v/>
      </c>
      <c r="S290">
        <f>IF(R290=0,0,(R290-Q290)/R290)</f>
        <v/>
      </c>
      <c r="T290" t="n">
        <v>50</v>
      </c>
      <c r="U290" t="inlineStr">
        <is>
          <t>LAUNCH_INVENTORY</t>
        </is>
      </c>
    </row>
    <row r="291">
      <c r="A291" t="inlineStr">
        <is>
          <t>K0002</t>
        </is>
      </c>
      <c r="B291" t="inlineStr">
        <is>
          <t>M06</t>
        </is>
      </c>
      <c r="C291" t="inlineStr">
        <is>
          <t>STANDARD HEMI (LOW SEAT) WHEELCHAIR</t>
        </is>
      </c>
      <c r="D291" t="n">
        <v>2</v>
      </c>
      <c r="E291" t="n">
        <v>38.72</v>
      </c>
      <c r="O291">
        <f>IF(P291=H291,IF(ISBLANK(G291),"",F291&amp;" - "&amp;G291),IF(P291=K291,IF(ISBLANK(J291),"",I291&amp;" - "&amp;J291),IF(ISBLANK(M291),"",L291&amp;" - "&amp;M291)))</f>
        <v/>
      </c>
      <c r="P291">
        <f>MIN(H291,K291,N291)</f>
        <v/>
      </c>
      <c r="Q291">
        <f>D291*P291</f>
        <v/>
      </c>
      <c r="R291">
        <f>IF(ISBLANK(E291),0,D291*E291)</f>
        <v/>
      </c>
      <c r="S291">
        <f>IF(R291=0,0,(R291-Q291)/R291)</f>
        <v/>
      </c>
      <c r="T291" t="n">
        <v>50</v>
      </c>
      <c r="U291" t="inlineStr">
        <is>
          <t>LAUNCH_INVENTORY</t>
        </is>
      </c>
    </row>
    <row r="292">
      <c r="A292" t="inlineStr">
        <is>
          <t>E1039</t>
        </is>
      </c>
      <c r="B292" t="inlineStr">
        <is>
          <t>M06</t>
        </is>
      </c>
      <c r="C292" t="inlineStr">
        <is>
          <t>TRANSPORT CHAIR, ADULT SIZE, HEAVY DUTY, PATIENT WEIGHT CAPACITY GREATER THAN 300 POUNDS</t>
        </is>
      </c>
      <c r="D292" t="n">
        <v>2</v>
      </c>
      <c r="E292" t="n">
        <v>37.48</v>
      </c>
      <c r="O292">
        <f>IF(P292=H292,IF(ISBLANK(G292),"",F292&amp;" - "&amp;G292),IF(P292=K292,IF(ISBLANK(J292),"",I292&amp;" - "&amp;J292),IF(ISBLANK(M292),"",L292&amp;" - "&amp;M292)))</f>
        <v/>
      </c>
      <c r="P292">
        <f>MIN(H292,K292,N292)</f>
        <v/>
      </c>
      <c r="Q292">
        <f>D292*P292</f>
        <v/>
      </c>
      <c r="R292">
        <f>IF(ISBLANK(E292),0,D292*E292)</f>
        <v/>
      </c>
      <c r="S292">
        <f>IF(R292=0,0,(R292-Q292)/R292)</f>
        <v/>
      </c>
      <c r="T292" t="n">
        <v>50</v>
      </c>
      <c r="U292" t="inlineStr">
        <is>
          <t>LAUNCH_INVENTORY</t>
        </is>
      </c>
    </row>
    <row r="293">
      <c r="A293" t="inlineStr">
        <is>
          <t>E0720</t>
        </is>
      </c>
      <c r="B293" t="inlineStr">
        <is>
          <t>DM22</t>
        </is>
      </c>
      <c r="C293" t="inlineStr">
        <is>
          <t>TENS device - 2 lead</t>
        </is>
      </c>
      <c r="D293" t="n">
        <v>6</v>
      </c>
      <c r="E293" t="n">
        <v>69.05</v>
      </c>
      <c r="O293">
        <f>IF(P293=H293,IF(ISBLANK(G293),"",F293&amp;" - "&amp;G293),IF(P293=K293,IF(ISBLANK(J293),"",I293&amp;" - "&amp;J293),IF(ISBLANK(M293),"",L293&amp;" - "&amp;M293)))</f>
        <v/>
      </c>
      <c r="P293">
        <f>MIN(H293,K293,N293)</f>
        <v/>
      </c>
      <c r="Q293">
        <f>D293*P293</f>
        <v/>
      </c>
      <c r="R293">
        <f>IF(ISBLANK(E293),0,D293*E293)</f>
        <v/>
      </c>
      <c r="S293">
        <f>IF(R293=0,0,(R293-Q293)/R293)</f>
        <v/>
      </c>
      <c r="T293" t="n">
        <v>40</v>
      </c>
      <c r="U293" t="inlineStr">
        <is>
          <t>LAUNCH_INVENTORY</t>
        </is>
      </c>
    </row>
    <row r="294">
      <c r="A294" t="inlineStr">
        <is>
          <t>A7013</t>
        </is>
      </c>
      <c r="B294" t="inlineStr">
        <is>
          <t>R07</t>
        </is>
      </c>
      <c r="C294" t="inlineStr">
        <is>
          <t>Nebulizer filter - disposable</t>
        </is>
      </c>
      <c r="D294" t="n">
        <v>50</v>
      </c>
      <c r="E294" t="n">
        <v>0.67</v>
      </c>
      <c r="O294">
        <f>IF(P294=H294,IF(ISBLANK(G294),"",F294&amp;" - "&amp;G294),IF(P294=K294,IF(ISBLANK(J294),"",I294&amp;" - "&amp;J294),IF(ISBLANK(M294),"",L294&amp;" - "&amp;M294)))</f>
        <v/>
      </c>
      <c r="P294">
        <f>MIN(H294,K294,N294)</f>
        <v/>
      </c>
      <c r="Q294">
        <f>D294*P294</f>
        <v/>
      </c>
      <c r="R294">
        <f>IF(ISBLANK(E294),0,D294*E294)</f>
        <v/>
      </c>
      <c r="S294">
        <f>IF(R294=0,0,(R294-Q294)/R294)</f>
        <v/>
      </c>
      <c r="T294" t="n">
        <v>40</v>
      </c>
      <c r="U294" t="inlineStr">
        <is>
          <t>LAUNCH_INVENTORY</t>
        </is>
      </c>
    </row>
    <row r="295">
      <c r="A295" t="inlineStr">
        <is>
          <t>L1820</t>
        </is>
      </c>
      <c r="B295" t="inlineStr">
        <is>
          <t>OR03</t>
        </is>
      </c>
      <c r="C295" t="inlineStr">
        <is>
          <t>Knee orthosis - soft interface</t>
        </is>
      </c>
      <c r="D295" t="n">
        <v>4</v>
      </c>
      <c r="O295">
        <f>IF(P295=H295,IF(ISBLANK(G295),"",F295&amp;" - "&amp;G295),IF(P295=K295,IF(ISBLANK(J295),"",I295&amp;" - "&amp;J295),IF(ISBLANK(M295),"",L295&amp;" - "&amp;M295)))</f>
        <v/>
      </c>
      <c r="P295">
        <f>MIN(H295,K295,N295)</f>
        <v/>
      </c>
      <c r="Q295">
        <f>D295*P295</f>
        <v/>
      </c>
      <c r="R295">
        <f>IF(ISBLANK(E295),0,D295*E295)</f>
        <v/>
      </c>
      <c r="S295">
        <f>IF(R295=0,0,(R295-Q295)/R295)</f>
        <v/>
      </c>
      <c r="T295" t="n">
        <v>40</v>
      </c>
      <c r="U295" t="inlineStr">
        <is>
          <t>LAUNCH_INVENTORY</t>
        </is>
      </c>
    </row>
    <row r="296">
      <c r="A296" t="inlineStr">
        <is>
          <t>L1810</t>
        </is>
      </c>
      <c r="B296" t="inlineStr">
        <is>
          <t>OR03</t>
        </is>
      </c>
      <c r="C296" t="inlineStr">
        <is>
          <t>Knee orthosis - elastic support</t>
        </is>
      </c>
      <c r="D296" t="n">
        <v>4</v>
      </c>
      <c r="O296">
        <f>IF(P296=H296,IF(ISBLANK(G296),"",F296&amp;" - "&amp;G296),IF(P296=K296,IF(ISBLANK(J296),"",I296&amp;" - "&amp;J296),IF(ISBLANK(M296),"",L296&amp;" - "&amp;M296)))</f>
        <v/>
      </c>
      <c r="P296">
        <f>MIN(H296,K296,N296)</f>
        <v/>
      </c>
      <c r="Q296">
        <f>D296*P296</f>
        <v/>
      </c>
      <c r="R296">
        <f>IF(ISBLANK(E296),0,D296*E296)</f>
        <v/>
      </c>
      <c r="S296">
        <f>IF(R296=0,0,(R296-Q296)/R296)</f>
        <v/>
      </c>
      <c r="T296" t="n">
        <v>40</v>
      </c>
      <c r="U296" t="inlineStr">
        <is>
          <t>LAUNCH_INVENTORY</t>
        </is>
      </c>
    </row>
    <row r="297">
      <c r="A297" t="inlineStr">
        <is>
          <t>L0625</t>
        </is>
      </c>
      <c r="B297" t="inlineStr">
        <is>
          <t>OR03</t>
        </is>
      </c>
      <c r="C297" t="inlineStr">
        <is>
          <t>Lumbar orthosis - sagittal-coronal control</t>
        </is>
      </c>
      <c r="D297" t="n">
        <v>3</v>
      </c>
      <c r="E297" t="n">
        <v>26.92</v>
      </c>
      <c r="O297">
        <f>IF(P297=H297,IF(ISBLANK(G297),"",F297&amp;" - "&amp;G297),IF(P297=K297,IF(ISBLANK(J297),"",I297&amp;" - "&amp;J297),IF(ISBLANK(M297),"",L297&amp;" - "&amp;M297)))</f>
        <v/>
      </c>
      <c r="P297">
        <f>MIN(H297,K297,N297)</f>
        <v/>
      </c>
      <c r="Q297">
        <f>D297*P297</f>
        <v/>
      </c>
      <c r="R297">
        <f>IF(ISBLANK(E297),0,D297*E297)</f>
        <v/>
      </c>
      <c r="S297">
        <f>IF(R297=0,0,(R297-Q297)/R297)</f>
        <v/>
      </c>
      <c r="T297" t="n">
        <v>40</v>
      </c>
      <c r="U297" t="inlineStr">
        <is>
          <t>LAUNCH_INVENTORY</t>
        </is>
      </c>
    </row>
    <row r="298">
      <c r="A298" t="inlineStr">
        <is>
          <t>L3908</t>
        </is>
      </c>
      <c r="B298" t="inlineStr">
        <is>
          <t>OR03</t>
        </is>
      </c>
      <c r="C298" t="inlineStr">
        <is>
          <t>Wrist-hand-finger orthosis</t>
        </is>
      </c>
      <c r="D298" t="n">
        <v>4</v>
      </c>
      <c r="E298" t="n">
        <v>88.06</v>
      </c>
      <c r="O298">
        <f>IF(P298=H298,IF(ISBLANK(G298),"",F298&amp;" - "&amp;G298),IF(P298=K298,IF(ISBLANK(J298),"",I298&amp;" - "&amp;J298),IF(ISBLANK(M298),"",L298&amp;" - "&amp;M298)))</f>
        <v/>
      </c>
      <c r="P298">
        <f>MIN(H298,K298,N298)</f>
        <v/>
      </c>
      <c r="Q298">
        <f>D298*P298</f>
        <v/>
      </c>
      <c r="R298">
        <f>IF(ISBLANK(E298),0,D298*E298)</f>
        <v/>
      </c>
      <c r="S298">
        <f>IF(R298=0,0,(R298-Q298)/R298)</f>
        <v/>
      </c>
      <c r="T298" t="n">
        <v>40</v>
      </c>
      <c r="U298" t="inlineStr">
        <is>
          <t>LAUNCH_INVENTORY</t>
        </is>
      </c>
    </row>
    <row r="299">
      <c r="A299" t="inlineStr">
        <is>
          <t>L1830</t>
        </is>
      </c>
      <c r="B299" t="inlineStr">
        <is>
          <t>OR03</t>
        </is>
      </c>
      <c r="C299" t="inlineStr">
        <is>
          <t>Knee orthosis - rigid support</t>
        </is>
      </c>
      <c r="D299" t="n">
        <v>4</v>
      </c>
      <c r="E299" t="n">
        <v>51.32</v>
      </c>
      <c r="O299">
        <f>IF(P299=H299,IF(ISBLANK(G299),"",F299&amp;" - "&amp;G299),IF(P299=K299,IF(ISBLANK(J299),"",I299&amp;" - "&amp;J299),IF(ISBLANK(M299),"",L299&amp;" - "&amp;M299)))</f>
        <v/>
      </c>
      <c r="P299">
        <f>MIN(H299,K299,N299)</f>
        <v/>
      </c>
      <c r="Q299">
        <f>D299*P299</f>
        <v/>
      </c>
      <c r="R299">
        <f>IF(ISBLANK(E299),0,D299*E299)</f>
        <v/>
      </c>
      <c r="S299">
        <f>IF(R299=0,0,(R299-Q299)/R299)</f>
        <v/>
      </c>
      <c r="T299" t="n">
        <v>40</v>
      </c>
      <c r="U299" t="inlineStr">
        <is>
          <t>LAUNCH_INVENTORY</t>
        </is>
      </c>
    </row>
    <row r="300">
      <c r="A300" t="inlineStr">
        <is>
          <t>L0621</t>
        </is>
      </c>
      <c r="B300" t="inlineStr">
        <is>
          <t>OR03</t>
        </is>
      </c>
      <c r="C300" t="inlineStr">
        <is>
          <t>Lumbar orthosis - sagittal control</t>
        </is>
      </c>
      <c r="D300" t="n">
        <v>3</v>
      </c>
      <c r="E300" t="n">
        <v>48.11</v>
      </c>
      <c r="O300">
        <f>IF(P300=H300,IF(ISBLANK(G300),"",F300&amp;" - "&amp;G300),IF(P300=K300,IF(ISBLANK(J300),"",I300&amp;" - "&amp;J300),IF(ISBLANK(M300),"",L300&amp;" - "&amp;M300)))</f>
        <v/>
      </c>
      <c r="P300">
        <f>MIN(H300,K300,N300)</f>
        <v/>
      </c>
      <c r="Q300">
        <f>D300*P300</f>
        <v/>
      </c>
      <c r="R300">
        <f>IF(ISBLANK(E300),0,D300*E300)</f>
        <v/>
      </c>
      <c r="S300">
        <f>IF(R300=0,0,(R300-Q300)/R300)</f>
        <v/>
      </c>
      <c r="T300" t="n">
        <v>40</v>
      </c>
      <c r="U300" t="inlineStr">
        <is>
          <t>LAUNCH_INVENTORY</t>
        </is>
      </c>
    </row>
    <row r="301">
      <c r="A301" t="inlineStr">
        <is>
          <t>E0217</t>
        </is>
      </c>
      <c r="B301" t="inlineStr">
        <is>
          <t>DM08</t>
        </is>
      </c>
      <c r="C301" t="inlineStr">
        <is>
          <t>Electric heating pad - moist</t>
        </is>
      </c>
      <c r="D301" t="n">
        <v>10</v>
      </c>
      <c r="E301" t="n">
        <v>589.61</v>
      </c>
      <c r="O301">
        <f>IF(P301=H301,IF(ISBLANK(G301),"",F301&amp;" - "&amp;G301),IF(P301=K301,IF(ISBLANK(J301),"",I301&amp;" - "&amp;J301),IF(ISBLANK(M301),"",L301&amp;" - "&amp;M301)))</f>
        <v/>
      </c>
      <c r="P301">
        <f>MIN(H301,K301,N301)</f>
        <v/>
      </c>
      <c r="Q301">
        <f>D301*P301</f>
        <v/>
      </c>
      <c r="R301">
        <f>IF(ISBLANK(E301),0,D301*E301)</f>
        <v/>
      </c>
      <c r="S301">
        <f>IF(R301=0,0,(R301-Q301)/R301)</f>
        <v/>
      </c>
      <c r="T301" t="n">
        <v>40</v>
      </c>
      <c r="U301" t="inlineStr">
        <is>
          <t>LAUNCH_INVENTORY</t>
        </is>
      </c>
    </row>
    <row r="302">
      <c r="A302" t="inlineStr">
        <is>
          <t>E0215</t>
        </is>
      </c>
      <c r="B302" t="inlineStr">
        <is>
          <t>DM08</t>
        </is>
      </c>
      <c r="C302" t="inlineStr">
        <is>
          <t>Electric heating pad - standard</t>
        </is>
      </c>
      <c r="D302" t="n">
        <v>10</v>
      </c>
      <c r="E302" t="n">
        <v>84.13</v>
      </c>
      <c r="O302">
        <f>IF(P302=H302,IF(ISBLANK(G302),"",F302&amp;" - "&amp;G302),IF(P302=K302,IF(ISBLANK(J302),"",I302&amp;" - "&amp;J302),IF(ISBLANK(M302),"",L302&amp;" - "&amp;M302)))</f>
        <v/>
      </c>
      <c r="P302">
        <f>MIN(H302,K302,N302)</f>
        <v/>
      </c>
      <c r="Q302">
        <f>D302*P302</f>
        <v/>
      </c>
      <c r="R302">
        <f>IF(ISBLANK(E302),0,D302*E302)</f>
        <v/>
      </c>
      <c r="S302">
        <f>IF(R302=0,0,(R302-Q302)/R302)</f>
        <v/>
      </c>
      <c r="T302" t="n">
        <v>40</v>
      </c>
      <c r="U302" t="inlineStr">
        <is>
          <t>LAUNCH_INVENTORY</t>
        </is>
      </c>
    </row>
    <row r="303">
      <c r="A303" t="inlineStr">
        <is>
          <t>E0198</t>
        </is>
      </c>
      <c r="B303" t="inlineStr">
        <is>
          <t>DM20</t>
        </is>
      </c>
      <c r="C303" t="inlineStr">
        <is>
          <t>Water pressure pad - standard mattress</t>
        </is>
      </c>
      <c r="D303" t="n">
        <v>4</v>
      </c>
      <c r="O303">
        <f>IF(P303=H303,IF(ISBLANK(G303),"",F303&amp;" - "&amp;G303),IF(P303=K303,IF(ISBLANK(J303),"",I303&amp;" - "&amp;J303),IF(ISBLANK(M303),"",L303&amp;" - "&amp;M303)))</f>
        <v/>
      </c>
      <c r="P303">
        <f>MIN(H303,K303,N303)</f>
        <v/>
      </c>
      <c r="Q303">
        <f>D303*P303</f>
        <v/>
      </c>
      <c r="R303">
        <f>IF(ISBLANK(E303),0,D303*E303)</f>
        <v/>
      </c>
      <c r="S303">
        <f>IF(R303=0,0,(R303-Q303)/R303)</f>
        <v/>
      </c>
      <c r="T303" t="n">
        <v>40</v>
      </c>
      <c r="U303" t="inlineStr">
        <is>
          <t>LAUNCH_INVENTORY</t>
        </is>
      </c>
    </row>
    <row r="304">
      <c r="A304" t="inlineStr">
        <is>
          <t>E0277</t>
        </is>
      </c>
      <c r="B304" t="inlineStr">
        <is>
          <t>DM20</t>
        </is>
      </c>
      <c r="C304" t="inlineStr">
        <is>
          <t>Low air loss mattress</t>
        </is>
      </c>
      <c r="D304" t="n">
        <v>1</v>
      </c>
      <c r="O304">
        <f>IF(P304=H304,IF(ISBLANK(G304),"",F304&amp;" - "&amp;G304),IF(P304=K304,IF(ISBLANK(J304),"",I304&amp;" - "&amp;J304),IF(ISBLANK(M304),"",L304&amp;" - "&amp;M304)))</f>
        <v/>
      </c>
      <c r="P304">
        <f>MIN(H304,K304,N304)</f>
        <v/>
      </c>
      <c r="Q304">
        <f>D304*P304</f>
        <v/>
      </c>
      <c r="R304">
        <f>IF(ISBLANK(E304),0,D304*E304)</f>
        <v/>
      </c>
      <c r="S304">
        <f>IF(R304=0,0,(R304-Q304)/R304)</f>
        <v/>
      </c>
      <c r="T304" t="n">
        <v>40</v>
      </c>
      <c r="U304" t="inlineStr">
        <is>
          <t>LAUNCH_INVENTORY</t>
        </is>
      </c>
    </row>
    <row r="305">
      <c r="A305" t="inlineStr">
        <is>
          <t>E0652</t>
        </is>
      </c>
      <c r="B305" t="inlineStr">
        <is>
          <t>DM18</t>
        </is>
      </c>
      <c r="C305" t="inlineStr">
        <is>
          <t>Pneumatic compression pump - segmental home</t>
        </is>
      </c>
      <c r="D305" t="n">
        <v>1</v>
      </c>
      <c r="E305" t="n">
        <v>7027.67</v>
      </c>
      <c r="O305">
        <f>IF(P305=H305,IF(ISBLANK(G305),"",F305&amp;" - "&amp;G305),IF(P305=K305,IF(ISBLANK(J305),"",I305&amp;" - "&amp;J305),IF(ISBLANK(M305),"",L305&amp;" - "&amp;M305)))</f>
        <v/>
      </c>
      <c r="P305">
        <f>MIN(H305,K305,N305)</f>
        <v/>
      </c>
      <c r="Q305">
        <f>D305*P305</f>
        <v/>
      </c>
      <c r="R305">
        <f>IF(ISBLANK(E305),0,D305*E305)</f>
        <v/>
      </c>
      <c r="S305">
        <f>IF(R305=0,0,(R305-Q305)/R305)</f>
        <v/>
      </c>
      <c r="T305" t="n">
        <v>40</v>
      </c>
      <c r="U305" t="inlineStr">
        <is>
          <t>LAUNCH_INVENTORY</t>
        </is>
      </c>
    </row>
    <row r="306">
      <c r="A306" t="inlineStr">
        <is>
          <t>E0651</t>
        </is>
      </c>
      <c r="B306" t="inlineStr">
        <is>
          <t>DM18</t>
        </is>
      </c>
      <c r="C306" t="inlineStr">
        <is>
          <t>Pneumatic compression pump - non-segmental home</t>
        </is>
      </c>
      <c r="D306" t="n">
        <v>1</v>
      </c>
      <c r="E306" t="n">
        <v>1090.71</v>
      </c>
      <c r="O306">
        <f>IF(P306=H306,IF(ISBLANK(G306),"",F306&amp;" - "&amp;G306),IF(P306=K306,IF(ISBLANK(J306),"",I306&amp;" - "&amp;J306),IF(ISBLANK(M306),"",L306&amp;" - "&amp;M306)))</f>
        <v/>
      </c>
      <c r="P306">
        <f>MIN(H306,K306,N306)</f>
        <v/>
      </c>
      <c r="Q306">
        <f>D306*P306</f>
        <v/>
      </c>
      <c r="R306">
        <f>IF(ISBLANK(E306),0,D306*E306)</f>
        <v/>
      </c>
      <c r="S306">
        <f>IF(R306=0,0,(R306-Q306)/R306)</f>
        <v/>
      </c>
      <c r="T306" t="n">
        <v>40</v>
      </c>
      <c r="U306" t="inlineStr">
        <is>
          <t>LAUNCH_INVENTORY</t>
        </is>
      </c>
    </row>
    <row r="307">
      <c r="A307" t="inlineStr">
        <is>
          <t>E0197</t>
        </is>
      </c>
      <c r="B307" t="inlineStr">
        <is>
          <t>DM20</t>
        </is>
      </c>
      <c r="C307" t="inlineStr">
        <is>
          <t>Air pressure pad - standard mattress</t>
        </is>
      </c>
      <c r="D307" t="n">
        <v>4</v>
      </c>
      <c r="O307">
        <f>IF(P307=H307,IF(ISBLANK(G307),"",F307&amp;" - "&amp;G307),IF(P307=K307,IF(ISBLANK(J307),"",I307&amp;" - "&amp;J307),IF(ISBLANK(M307),"",L307&amp;" - "&amp;M307)))</f>
        <v/>
      </c>
      <c r="P307">
        <f>MIN(H307,K307,N307)</f>
        <v/>
      </c>
      <c r="Q307">
        <f>D307*P307</f>
        <v/>
      </c>
      <c r="R307">
        <f>IF(ISBLANK(E307),0,D307*E307)</f>
        <v/>
      </c>
      <c r="S307">
        <f>IF(R307=0,0,(R307-Q307)/R307)</f>
        <v/>
      </c>
      <c r="T307" t="n">
        <v>40</v>
      </c>
      <c r="U307" t="inlineStr">
        <is>
          <t>LAUNCH_INVENTORY</t>
        </is>
      </c>
    </row>
    <row r="308">
      <c r="A308" t="inlineStr">
        <is>
          <t>E0186</t>
        </is>
      </c>
      <c r="B308" t="inlineStr">
        <is>
          <t>DM20</t>
        </is>
      </c>
      <c r="C308" t="inlineStr">
        <is>
          <t>Air pressure mattress</t>
        </is>
      </c>
      <c r="D308" t="n">
        <v>2</v>
      </c>
      <c r="O308">
        <f>IF(P308=H308,IF(ISBLANK(G308),"",F308&amp;" - "&amp;G308),IF(P308=K308,IF(ISBLANK(J308),"",I308&amp;" - "&amp;J308),IF(ISBLANK(M308),"",L308&amp;" - "&amp;M308)))</f>
        <v/>
      </c>
      <c r="P308">
        <f>MIN(H308,K308,N308)</f>
        <v/>
      </c>
      <c r="Q308">
        <f>D308*P308</f>
        <v/>
      </c>
      <c r="R308">
        <f>IF(ISBLANK(E308),0,D308*E308)</f>
        <v/>
      </c>
      <c r="S308">
        <f>IF(R308=0,0,(R308-Q308)/R308)</f>
        <v/>
      </c>
      <c r="T308" t="n">
        <v>40</v>
      </c>
      <c r="U308" t="inlineStr">
        <is>
          <t>LAUNCH_INVENTORY</t>
        </is>
      </c>
    </row>
    <row r="309">
      <c r="A309" t="inlineStr">
        <is>
          <t>E0196</t>
        </is>
      </c>
      <c r="B309" t="inlineStr">
        <is>
          <t>DM20</t>
        </is>
      </c>
      <c r="C309" t="inlineStr">
        <is>
          <t>Gel pressure pad - standard mattress</t>
        </is>
      </c>
      <c r="D309" t="n">
        <v>3</v>
      </c>
      <c r="O309">
        <f>IF(P309=H309,IF(ISBLANK(G309),"",F309&amp;" - "&amp;G309),IF(P309=K309,IF(ISBLANK(J309),"",I309&amp;" - "&amp;J309),IF(ISBLANK(M309),"",L309&amp;" - "&amp;M309)))</f>
        <v/>
      </c>
      <c r="P309">
        <f>MIN(H309,K309,N309)</f>
        <v/>
      </c>
      <c r="Q309">
        <f>D309*P309</f>
        <v/>
      </c>
      <c r="R309">
        <f>IF(ISBLANK(E309),0,D309*E309)</f>
        <v/>
      </c>
      <c r="S309">
        <f>IF(R309=0,0,(R309-Q309)/R309)</f>
        <v/>
      </c>
      <c r="T309" t="n">
        <v>40</v>
      </c>
      <c r="U309" t="inlineStr">
        <is>
          <t>LAUNCH_INVENTORY</t>
        </is>
      </c>
    </row>
    <row r="310">
      <c r="A310" t="inlineStr">
        <is>
          <t>E0199</t>
        </is>
      </c>
      <c r="B310" t="inlineStr">
        <is>
          <t>DM20</t>
        </is>
      </c>
      <c r="C310" t="inlineStr">
        <is>
          <t>Dry pressure pad - standard mattress width</t>
        </is>
      </c>
      <c r="D310" t="n">
        <v>4</v>
      </c>
      <c r="E310" t="n">
        <v>33.72</v>
      </c>
      <c r="O310">
        <f>IF(P310=H310,IF(ISBLANK(G310),"",F310&amp;" - "&amp;G310),IF(P310=K310,IF(ISBLANK(J310),"",I310&amp;" - "&amp;J310),IF(ISBLANK(M310),"",L310&amp;" - "&amp;M310)))</f>
        <v/>
      </c>
      <c r="P310">
        <f>MIN(H310,K310,N310)</f>
        <v/>
      </c>
      <c r="Q310">
        <f>D310*P310</f>
        <v/>
      </c>
      <c r="R310">
        <f>IF(ISBLANK(E310),0,D310*E310)</f>
        <v/>
      </c>
      <c r="S310">
        <f>IF(R310=0,0,(R310-Q310)/R310)</f>
        <v/>
      </c>
      <c r="T310" t="n">
        <v>40</v>
      </c>
      <c r="U310" t="inlineStr">
        <is>
          <t>LAUNCH_INVENTORY</t>
        </is>
      </c>
    </row>
    <row r="311">
      <c r="A311" t="inlineStr">
        <is>
          <t>E0221</t>
        </is>
      </c>
      <c r="B311" t="inlineStr">
        <is>
          <t>DM11</t>
        </is>
      </c>
      <c r="C311" t="inlineStr">
        <is>
          <t>Infrared heating pad system</t>
        </is>
      </c>
      <c r="D311" t="n">
        <v>3</v>
      </c>
      <c r="O311">
        <f>IF(P311=H311,IF(ISBLANK(G311),"",F311&amp;" - "&amp;G311),IF(P311=K311,IF(ISBLANK(J311),"",I311&amp;" - "&amp;J311),IF(ISBLANK(M311),"",L311&amp;" - "&amp;M311)))</f>
        <v/>
      </c>
      <c r="P311">
        <f>MIN(H311,K311,N311)</f>
        <v/>
      </c>
      <c r="Q311">
        <f>D311*P311</f>
        <v/>
      </c>
      <c r="R311">
        <f>IF(ISBLANK(E311),0,D311*E311)</f>
        <v/>
      </c>
      <c r="S311">
        <f>IF(R311=0,0,(R311-Q311)/R311)</f>
        <v/>
      </c>
      <c r="T311" t="n">
        <v>40</v>
      </c>
      <c r="U311" t="inlineStr">
        <is>
          <t>LAUNCH_INVENTORY</t>
        </is>
      </c>
    </row>
    <row r="312">
      <c r="A312" t="inlineStr">
        <is>
          <t>A4639</t>
        </is>
      </c>
      <c r="B312" t="inlineStr">
        <is>
          <t>DM11</t>
        </is>
      </c>
      <c r="C312" t="inlineStr">
        <is>
          <t>Infrared pad replacement</t>
        </is>
      </c>
      <c r="D312" t="n">
        <v>10</v>
      </c>
      <c r="O312">
        <f>IF(P312=H312,IF(ISBLANK(G312),"",F312&amp;" - "&amp;G312),IF(P312=K312,IF(ISBLANK(J312),"",I312&amp;" - "&amp;J312),IF(ISBLANK(M312),"",L312&amp;" - "&amp;M312)))</f>
        <v/>
      </c>
      <c r="P312">
        <f>MIN(H312,K312,N312)</f>
        <v/>
      </c>
      <c r="Q312">
        <f>D312*P312</f>
        <v/>
      </c>
      <c r="R312">
        <f>IF(ISBLANK(E312),0,D312*E312)</f>
        <v/>
      </c>
      <c r="S312">
        <f>IF(R312=0,0,(R312-Q312)/R312)</f>
        <v/>
      </c>
      <c r="T312" t="n">
        <v>40</v>
      </c>
      <c r="U312" t="inlineStr">
        <is>
          <t>LAUNCH_INVENTORY</t>
        </is>
      </c>
    </row>
    <row r="313">
      <c r="A313" t="inlineStr">
        <is>
          <t>E0236</t>
        </is>
      </c>
      <c r="B313" t="inlineStr">
        <is>
          <t>DM08</t>
        </is>
      </c>
      <c r="C313" t="inlineStr">
        <is>
          <t>Pump for water circulating pad</t>
        </is>
      </c>
      <c r="D313" t="n">
        <v>10</v>
      </c>
      <c r="O313">
        <f>IF(P313=H313,IF(ISBLANK(G313),"",F313&amp;" - "&amp;G313),IF(P313=K313,IF(ISBLANK(J313),"",I313&amp;" - "&amp;J313),IF(ISBLANK(M313),"",L313&amp;" - "&amp;M313)))</f>
        <v/>
      </c>
      <c r="P313">
        <f>MIN(H313,K313,N313)</f>
        <v/>
      </c>
      <c r="Q313">
        <f>D313*P313</f>
        <v/>
      </c>
      <c r="R313">
        <f>IF(ISBLANK(E313),0,D313*E313)</f>
        <v/>
      </c>
      <c r="S313">
        <f>IF(R313=0,0,(R313-Q313)/R313)</f>
        <v/>
      </c>
      <c r="T313" t="n">
        <v>40</v>
      </c>
      <c r="U313" t="inlineStr">
        <is>
          <t>LAUNCH_INVENTORY</t>
        </is>
      </c>
    </row>
    <row r="314">
      <c r="A314" t="inlineStr">
        <is>
          <t>E0230</t>
        </is>
      </c>
      <c r="B314" t="inlineStr">
        <is>
          <t>DM08</t>
        </is>
      </c>
      <c r="C314" t="inlineStr">
        <is>
          <t>Ice cap or collar</t>
        </is>
      </c>
      <c r="D314" t="n">
        <v>10</v>
      </c>
      <c r="O314">
        <f>IF(P314=H314,IF(ISBLANK(G314),"",F314&amp;" - "&amp;G314),IF(P314=K314,IF(ISBLANK(J314),"",I314&amp;" - "&amp;J314),IF(ISBLANK(M314),"",L314&amp;" - "&amp;M314)))</f>
        <v/>
      </c>
      <c r="P314">
        <f>MIN(H314,K314,N314)</f>
        <v/>
      </c>
      <c r="Q314">
        <f>D314*P314</f>
        <v/>
      </c>
      <c r="R314">
        <f>IF(ISBLANK(E314),0,D314*E314)</f>
        <v/>
      </c>
      <c r="S314">
        <f>IF(R314=0,0,(R314-Q314)/R314)</f>
        <v/>
      </c>
      <c r="T314" t="n">
        <v>40</v>
      </c>
      <c r="U314" t="inlineStr">
        <is>
          <t>LAUNCH_INVENTORY</t>
        </is>
      </c>
    </row>
    <row r="315">
      <c r="A315" t="inlineStr">
        <is>
          <t>E0235</t>
        </is>
      </c>
      <c r="B315" t="inlineStr">
        <is>
          <t>DM08</t>
        </is>
      </c>
      <c r="C315" t="inlineStr">
        <is>
          <t>Paraffin bath unit</t>
        </is>
      </c>
      <c r="D315" t="n">
        <v>1</v>
      </c>
      <c r="O315">
        <f>IF(P315=H315,IF(ISBLANK(G315),"",F315&amp;" - "&amp;G315),IF(P315=K315,IF(ISBLANK(J315),"",I315&amp;" - "&amp;J315),IF(ISBLANK(M315),"",L315&amp;" - "&amp;M315)))</f>
        <v/>
      </c>
      <c r="P315">
        <f>MIN(H315,K315,N315)</f>
        <v/>
      </c>
      <c r="Q315">
        <f>D315*P315</f>
        <v/>
      </c>
      <c r="R315">
        <f>IF(ISBLANK(E315),0,D315*E315)</f>
        <v/>
      </c>
      <c r="S315">
        <f>IF(R315=0,0,(R315-Q315)/R315)</f>
        <v/>
      </c>
      <c r="T315" t="n">
        <v>40</v>
      </c>
      <c r="U315" t="inlineStr">
        <is>
          <t>LAUNCH_INVENTORY</t>
        </is>
      </c>
    </row>
    <row r="316">
      <c r="A316" t="inlineStr">
        <is>
          <t>E0239</t>
        </is>
      </c>
      <c r="B316" t="inlineStr">
        <is>
          <t>DM08</t>
        </is>
      </c>
      <c r="C316" t="inlineStr">
        <is>
          <t>Hydrocollator unit - portable</t>
        </is>
      </c>
      <c r="D316" t="n">
        <v>15</v>
      </c>
      <c r="E316" t="n">
        <v>534.23</v>
      </c>
      <c r="O316">
        <f>IF(P316=H316,IF(ISBLANK(G316),"",F316&amp;" - "&amp;G316),IF(P316=K316,IF(ISBLANK(J316),"",I316&amp;" - "&amp;J316),IF(ISBLANK(M316),"",L316&amp;" - "&amp;M316)))</f>
        <v/>
      </c>
      <c r="P316">
        <f>MIN(H316,K316,N316)</f>
        <v/>
      </c>
      <c r="Q316">
        <f>D316*P316</f>
        <v/>
      </c>
      <c r="R316">
        <f>IF(ISBLANK(E316),0,D316*E316)</f>
        <v/>
      </c>
      <c r="S316">
        <f>IF(R316=0,0,(R316-Q316)/R316)</f>
        <v/>
      </c>
      <c r="T316" t="n">
        <v>40</v>
      </c>
      <c r="U316" t="inlineStr">
        <is>
          <t>LAUNCH_INVENTORY</t>
        </is>
      </c>
    </row>
    <row r="317">
      <c r="A317" t="inlineStr">
        <is>
          <t>E0744</t>
        </is>
      </c>
      <c r="B317" t="inlineStr">
        <is>
          <t>DM16</t>
        </is>
      </c>
      <c r="C317" t="inlineStr">
        <is>
          <t>NMES device - orofacial</t>
        </is>
      </c>
      <c r="D317" t="n">
        <v>2</v>
      </c>
      <c r="O317">
        <f>IF(P317=H317,IF(ISBLANK(G317),"",F317&amp;" - "&amp;G317),IF(P317=K317,IF(ISBLANK(J317),"",I317&amp;" - "&amp;J317),IF(ISBLANK(M317),"",L317&amp;" - "&amp;M317)))</f>
        <v/>
      </c>
      <c r="P317">
        <f>MIN(H317,K317,N317)</f>
        <v/>
      </c>
      <c r="Q317">
        <f>D317*P317</f>
        <v/>
      </c>
      <c r="R317">
        <f>IF(ISBLANK(E317),0,D317*E317)</f>
        <v/>
      </c>
      <c r="S317">
        <f>IF(R317=0,0,(R317-Q317)/R317)</f>
        <v/>
      </c>
      <c r="T317" t="n">
        <v>40</v>
      </c>
      <c r="U317" t="inlineStr">
        <is>
          <t>LAUNCH_INVENTORY</t>
        </is>
      </c>
    </row>
    <row r="318">
      <c r="A318" t="inlineStr">
        <is>
          <t>E0745</t>
        </is>
      </c>
      <c r="B318" t="inlineStr">
        <is>
          <t>DM16</t>
        </is>
      </c>
      <c r="C318" t="inlineStr">
        <is>
          <t>NMES device - other</t>
        </is>
      </c>
      <c r="D318" t="n">
        <v>1</v>
      </c>
      <c r="O318">
        <f>IF(P318=H318,IF(ISBLANK(G318),"",F318&amp;" - "&amp;G318),IF(P318=K318,IF(ISBLANK(J318),"",I318&amp;" - "&amp;J318),IF(ISBLANK(M318),"",L318&amp;" - "&amp;M318)))</f>
        <v/>
      </c>
      <c r="P318">
        <f>MIN(H318,K318,N318)</f>
        <v/>
      </c>
      <c r="Q318">
        <f>D318*P318</f>
        <v/>
      </c>
      <c r="R318">
        <f>IF(ISBLANK(E318),0,D318*E318)</f>
        <v/>
      </c>
      <c r="S318">
        <f>IF(R318=0,0,(R318-Q318)/R318)</f>
        <v/>
      </c>
      <c r="T318" t="n">
        <v>40</v>
      </c>
      <c r="U318" t="inlineStr">
        <is>
          <t>LAUNCH_INVENTORY</t>
        </is>
      </c>
    </row>
    <row r="319">
      <c r="A319" t="inlineStr">
        <is>
          <t>E0730</t>
        </is>
      </c>
      <c r="B319" t="inlineStr">
        <is>
          <t>DM22</t>
        </is>
      </c>
      <c r="C319" t="inlineStr">
        <is>
          <t>TENS device - 4 lead</t>
        </is>
      </c>
      <c r="D319" t="n">
        <v>4</v>
      </c>
      <c r="E319" t="n">
        <v>61.82</v>
      </c>
      <c r="O319">
        <f>IF(P319=H319,IF(ISBLANK(G319),"",F319&amp;" - "&amp;G319),IF(P319=K319,IF(ISBLANK(J319),"",I319&amp;" - "&amp;J319),IF(ISBLANK(M319),"",L319&amp;" - "&amp;M319)))</f>
        <v/>
      </c>
      <c r="P319">
        <f>MIN(H319,K319,N319)</f>
        <v/>
      </c>
      <c r="Q319">
        <f>D319*P319</f>
        <v/>
      </c>
      <c r="R319">
        <f>IF(ISBLANK(E319),0,D319*E319)</f>
        <v/>
      </c>
      <c r="S319">
        <f>IF(R319=0,0,(R319-Q319)/R319)</f>
        <v/>
      </c>
      <c r="T319" t="n">
        <v>40</v>
      </c>
      <c r="U319" t="inlineStr">
        <is>
          <t>LAUNCH_INVENTORY</t>
        </is>
      </c>
    </row>
    <row r="320">
      <c r="A320" t="inlineStr">
        <is>
          <t>A4595</t>
        </is>
      </c>
      <c r="B320" t="inlineStr">
        <is>
          <t>DM22</t>
        </is>
      </c>
      <c r="C320" t="inlineStr">
        <is>
          <t>TENS electrode pads</t>
        </is>
      </c>
      <c r="D320" t="n">
        <v>80</v>
      </c>
      <c r="O320">
        <f>IF(P320=H320,IF(ISBLANK(G320),"",F320&amp;" - "&amp;G320),IF(P320=K320,IF(ISBLANK(J320),"",I320&amp;" - "&amp;J320),IF(ISBLANK(M320),"",L320&amp;" - "&amp;M320)))</f>
        <v/>
      </c>
      <c r="P320">
        <f>MIN(H320,K320,N320)</f>
        <v/>
      </c>
      <c r="Q320">
        <f>D320*P320</f>
        <v/>
      </c>
      <c r="R320">
        <f>IF(ISBLANK(E320),0,D320*E320)</f>
        <v/>
      </c>
      <c r="S320">
        <f>IF(R320=0,0,(R320-Q320)/R320)</f>
        <v/>
      </c>
      <c r="T320" t="n">
        <v>40</v>
      </c>
      <c r="U320" t="inlineStr">
        <is>
          <t>LAUNCH_INVENTORY</t>
        </is>
      </c>
    </row>
    <row r="321">
      <c r="A321" t="inlineStr">
        <is>
          <t>E1011</t>
        </is>
      </c>
      <c r="B321" t="inlineStr">
        <is>
          <t>M06A</t>
        </is>
      </c>
      <c r="C321" t="inlineStr">
        <is>
          <t>MODIFICATION TO PEDIATRIC SIZE WHEELCHAIR, WIDTH ADJUSTMENT PACKAGE (NOT TO BE DISPENSED WITH INITIAL CHAIR)</t>
        </is>
      </c>
      <c r="D321" t="n">
        <v>2</v>
      </c>
      <c r="O321">
        <f>IF(P321=H321,IF(ISBLANK(G321),"",F321&amp;" - "&amp;G321),IF(P321=K321,IF(ISBLANK(J321),"",I321&amp;" - "&amp;J321),IF(ISBLANK(M321),"",L321&amp;" - "&amp;M321)))</f>
        <v/>
      </c>
      <c r="P321">
        <f>MIN(H321,K321,N321)</f>
        <v/>
      </c>
      <c r="Q321">
        <f>D321*P321</f>
        <v/>
      </c>
      <c r="R321">
        <f>IF(ISBLANK(E321),0,D321*E321)</f>
        <v/>
      </c>
      <c r="S321">
        <f>IF(R321=0,0,(R321-Q321)/R321)</f>
        <v/>
      </c>
      <c r="T321" t="n">
        <v>40</v>
      </c>
      <c r="U321" t="inlineStr">
        <is>
          <t>LAUNCH_INVENTORY</t>
        </is>
      </c>
    </row>
    <row r="322">
      <c r="A322" t="inlineStr">
        <is>
          <t>E2230</t>
        </is>
      </c>
      <c r="B322" t="inlineStr">
        <is>
          <t>M06A</t>
        </is>
      </c>
      <c r="C322" t="inlineStr">
        <is>
          <t>MANUAL WHEELCHAIR ACCESSORY, MANUAL STANDING SYSTEM</t>
        </is>
      </c>
      <c r="D322" t="n">
        <v>2</v>
      </c>
      <c r="O322">
        <f>IF(P322=H322,IF(ISBLANK(G322),"",F322&amp;" - "&amp;G322),IF(P322=K322,IF(ISBLANK(J322),"",I322&amp;" - "&amp;J322),IF(ISBLANK(M322),"",L322&amp;" - "&amp;M322)))</f>
        <v/>
      </c>
      <c r="P322">
        <f>MIN(H322,K322,N322)</f>
        <v/>
      </c>
      <c r="Q322">
        <f>D322*P322</f>
        <v/>
      </c>
      <c r="R322">
        <f>IF(ISBLANK(E322),0,D322*E322)</f>
        <v/>
      </c>
      <c r="S322">
        <f>IF(R322=0,0,(R322-Q322)/R322)</f>
        <v/>
      </c>
      <c r="T322" t="n">
        <v>40</v>
      </c>
      <c r="U322" t="inlineStr">
        <is>
          <t>LAUNCH_INVENTORY</t>
        </is>
      </c>
    </row>
    <row r="323">
      <c r="A323" t="inlineStr">
        <is>
          <t>A6561</t>
        </is>
      </c>
      <c r="B323" t="inlineStr">
        <is>
          <t>S04</t>
        </is>
      </c>
      <c r="C323" t="inlineStr">
        <is>
          <t>GRADIENT COMPRESSION STOCKING, FULL LENGTH/CHAP STYLE, 40 MMHG OR GREATER, CUSTOM, EACH</t>
        </is>
      </c>
      <c r="D323" t="n">
        <v>2</v>
      </c>
      <c r="O323">
        <f>IF(P323=H323,IF(ISBLANK(G323),"",F323&amp;" - "&amp;G323),IF(P323=K323,IF(ISBLANK(J323),"",I323&amp;" - "&amp;J323),IF(ISBLANK(M323),"",L323&amp;" - "&amp;M323)))</f>
        <v/>
      </c>
      <c r="P323">
        <f>MIN(H323,K323,N323)</f>
        <v/>
      </c>
      <c r="Q323">
        <f>D323*P323</f>
        <v/>
      </c>
      <c r="R323">
        <f>IF(ISBLANK(E323),0,D323*E323)</f>
        <v/>
      </c>
      <c r="S323">
        <f>IF(R323=0,0,(R323-Q323)/R323)</f>
        <v/>
      </c>
      <c r="T323" t="n">
        <v>40</v>
      </c>
      <c r="U323" t="inlineStr">
        <is>
          <t>LAUNCH_INVENTORY</t>
        </is>
      </c>
    </row>
    <row r="324">
      <c r="A324" t="inlineStr">
        <is>
          <t>A6213</t>
        </is>
      </c>
      <c r="B324" t="inlineStr">
        <is>
          <t>S01</t>
        </is>
      </c>
      <c r="C324" t="inlineStr">
        <is>
          <t>FOAM DRESSING, WOUND COVER, STERILE, PAD SIZE MORE THAN 16 SQ. IN. BUT LESS THAN OR EQUAL TO 48 SQ. IN., WITH ANY SIZE ADHESIVE BORDER, EACH DRESSING</t>
        </is>
      </c>
      <c r="D324" t="n">
        <v>2</v>
      </c>
      <c r="O324">
        <f>IF(P324=H324,IF(ISBLANK(G324),"",F324&amp;" - "&amp;G324),IF(P324=K324,IF(ISBLANK(J324),"",I324&amp;" - "&amp;J324),IF(ISBLANK(M324),"",L324&amp;" - "&amp;M324)))</f>
        <v/>
      </c>
      <c r="P324">
        <f>MIN(H324,K324,N324)</f>
        <v/>
      </c>
      <c r="Q324">
        <f>D324*P324</f>
        <v/>
      </c>
      <c r="R324">
        <f>IF(ISBLANK(E324),0,D324*E324)</f>
        <v/>
      </c>
      <c r="S324">
        <f>IF(R324=0,0,(R324-Q324)/R324)</f>
        <v/>
      </c>
      <c r="T324" t="n">
        <v>40</v>
      </c>
      <c r="U324" t="inlineStr">
        <is>
          <t>LAUNCH_INVENTORY</t>
        </is>
      </c>
    </row>
    <row r="325">
      <c r="A325" t="inlineStr">
        <is>
          <t>A6228</t>
        </is>
      </c>
      <c r="B325" t="inlineStr">
        <is>
          <t>S01</t>
        </is>
      </c>
      <c r="C325" t="inlineStr">
        <is>
          <t>GAUZE, IMPREGNATED, WATER OR NORMAL SALINE, STERILE, PAD SIZE 16 SQ. IN. OR LESS, WITHOUT ADHESIVE BORDER, EACH DRESSING</t>
        </is>
      </c>
      <c r="D325" t="n">
        <v>2</v>
      </c>
      <c r="O325">
        <f>IF(P325=H325,IF(ISBLANK(G325),"",F325&amp;" - "&amp;G325),IF(P325=K325,IF(ISBLANK(J325),"",I325&amp;" - "&amp;J325),IF(ISBLANK(M325),"",L325&amp;" - "&amp;M325)))</f>
        <v/>
      </c>
      <c r="P325">
        <f>MIN(H325,K325,N325)</f>
        <v/>
      </c>
      <c r="Q325">
        <f>D325*P325</f>
        <v/>
      </c>
      <c r="R325">
        <f>IF(ISBLANK(E325),0,D325*E325)</f>
        <v/>
      </c>
      <c r="S325">
        <f>IF(R325=0,0,(R325-Q325)/R325)</f>
        <v/>
      </c>
      <c r="T325" t="n">
        <v>40</v>
      </c>
      <c r="U325" t="inlineStr">
        <is>
          <t>LAUNCH_INVENTORY</t>
        </is>
      </c>
    </row>
    <row r="326">
      <c r="A326" t="inlineStr">
        <is>
          <t>A6230</t>
        </is>
      </c>
      <c r="B326" t="inlineStr">
        <is>
          <t>S01</t>
        </is>
      </c>
      <c r="C326" t="inlineStr">
        <is>
          <t>GAUZE, IMPREGNATED, WATER OR NORMAL SALINE, STERILE, PAD SIZE MORE THAN 48 SQ. IN., WITHOUT ADHESIVE BORDER, EACH DRESSING</t>
        </is>
      </c>
      <c r="D326" t="n">
        <v>2</v>
      </c>
      <c r="O326">
        <f>IF(P326=H326,IF(ISBLANK(G326),"",F326&amp;" - "&amp;G326),IF(P326=K326,IF(ISBLANK(J326),"",I326&amp;" - "&amp;J326),IF(ISBLANK(M326),"",L326&amp;" - "&amp;M326)))</f>
        <v/>
      </c>
      <c r="P326">
        <f>MIN(H326,K326,N326)</f>
        <v/>
      </c>
      <c r="Q326">
        <f>D326*P326</f>
        <v/>
      </c>
      <c r="R326">
        <f>IF(ISBLANK(E326),0,D326*E326)</f>
        <v/>
      </c>
      <c r="S326">
        <f>IF(R326=0,0,(R326-Q326)/R326)</f>
        <v/>
      </c>
      <c r="T326" t="n">
        <v>40</v>
      </c>
      <c r="U326" t="inlineStr">
        <is>
          <t>LAUNCH_INVENTORY</t>
        </is>
      </c>
    </row>
    <row r="327">
      <c r="A327" t="inlineStr">
        <is>
          <t>A4557</t>
        </is>
      </c>
      <c r="B327" t="inlineStr">
        <is>
          <t>DM22</t>
        </is>
      </c>
      <c r="C327" t="inlineStr">
        <is>
          <t>TENS lead wires</t>
        </is>
      </c>
      <c r="D327" t="n">
        <v>15</v>
      </c>
      <c r="O327">
        <f>IF(P327=H327,IF(ISBLANK(G327),"",F327&amp;" - "&amp;G327),IF(P327=K327,IF(ISBLANK(J327),"",I327&amp;" - "&amp;J327),IF(ISBLANK(M327),"",L327&amp;" - "&amp;M327)))</f>
        <v/>
      </c>
      <c r="P327">
        <f>MIN(H327,K327,N327)</f>
        <v/>
      </c>
      <c r="Q327">
        <f>D327*P327</f>
        <v/>
      </c>
      <c r="R327">
        <f>IF(ISBLANK(E327),0,D327*E327)</f>
        <v/>
      </c>
      <c r="S327">
        <f>IF(R327=0,0,(R327-Q327)/R327)</f>
        <v/>
      </c>
      <c r="T327" t="n">
        <v>40</v>
      </c>
      <c r="U327" t="inlineStr">
        <is>
          <t>LAUNCH_INVENTORY</t>
        </is>
      </c>
    </row>
    <row r="328">
      <c r="A328" t="inlineStr">
        <is>
          <t>E0731</t>
        </is>
      </c>
      <c r="B328" t="inlineStr">
        <is>
          <t>DM16</t>
        </is>
      </c>
      <c r="C328" t="inlineStr">
        <is>
          <t>NMES device - form fitting conduction garment</t>
        </is>
      </c>
      <c r="D328" t="n">
        <v>2</v>
      </c>
      <c r="E328" t="n">
        <v>85.63</v>
      </c>
      <c r="O328">
        <f>IF(P328=H328,IF(ISBLANK(G328),"",F328&amp;" - "&amp;G328),IF(P328=K328,IF(ISBLANK(J328),"",I328&amp;" - "&amp;J328),IF(ISBLANK(M328),"",L328&amp;" - "&amp;M328)))</f>
        <v/>
      </c>
      <c r="P328">
        <f>MIN(H328,K328,N328)</f>
        <v/>
      </c>
      <c r="Q328">
        <f>D328*P328</f>
        <v/>
      </c>
      <c r="R328">
        <f>IF(ISBLANK(E328),0,D328*E328)</f>
        <v/>
      </c>
      <c r="S328">
        <f>IF(R328=0,0,(R328-Q328)/R328)</f>
        <v/>
      </c>
      <c r="T328" t="n">
        <v>40</v>
      </c>
      <c r="U328" t="inlineStr">
        <is>
          <t>LAUNCH_INVENTORY</t>
        </is>
      </c>
    </row>
    <row r="329">
      <c r="A329" t="inlineStr">
        <is>
          <t>E0671</t>
        </is>
      </c>
      <c r="B329" t="inlineStr">
        <is>
          <t>DM18</t>
        </is>
      </c>
      <c r="C329" t="inlineStr">
        <is>
          <t>Pneumatic compression sleeve - segmental arm</t>
        </is>
      </c>
      <c r="D329" t="n">
        <v>3</v>
      </c>
      <c r="E329" t="n">
        <v>580.33</v>
      </c>
      <c r="O329">
        <f>IF(P329=H329,IF(ISBLANK(G329),"",F329&amp;" - "&amp;G329),IF(P329=K329,IF(ISBLANK(J329),"",I329&amp;" - "&amp;J329),IF(ISBLANK(M329),"",L329&amp;" - "&amp;M329)))</f>
        <v/>
      </c>
      <c r="P329">
        <f>MIN(H329,K329,N329)</f>
        <v/>
      </c>
      <c r="Q329">
        <f>D329*P329</f>
        <v/>
      </c>
      <c r="R329">
        <f>IF(ISBLANK(E329),0,D329*E329)</f>
        <v/>
      </c>
      <c r="S329">
        <f>IF(R329=0,0,(R329-Q329)/R329)</f>
        <v/>
      </c>
      <c r="T329" t="n">
        <v>40</v>
      </c>
      <c r="U329" t="inlineStr">
        <is>
          <t>LAUNCH_INVENTORY</t>
        </is>
      </c>
    </row>
    <row r="330">
      <c r="A330" t="inlineStr">
        <is>
          <t>E0672</t>
        </is>
      </c>
      <c r="B330" t="inlineStr">
        <is>
          <t>DM18</t>
        </is>
      </c>
      <c r="C330" t="inlineStr">
        <is>
          <t>Pneumatic compression sleeve - segmental leg</t>
        </is>
      </c>
      <c r="D330" t="n">
        <v>5</v>
      </c>
      <c r="E330" t="n">
        <v>450.9</v>
      </c>
      <c r="O330">
        <f>IF(P330=H330,IF(ISBLANK(G330),"",F330&amp;" - "&amp;G330),IF(P330=K330,IF(ISBLANK(J330),"",I330&amp;" - "&amp;J330),IF(ISBLANK(M330),"",L330&amp;" - "&amp;M330)))</f>
        <v/>
      </c>
      <c r="P330">
        <f>MIN(H330,K330,N330)</f>
        <v/>
      </c>
      <c r="Q330">
        <f>D330*P330</f>
        <v/>
      </c>
      <c r="R330">
        <f>IF(ISBLANK(E330),0,D330*E330)</f>
        <v/>
      </c>
      <c r="S330">
        <f>IF(R330=0,0,(R330-Q330)/R330)</f>
        <v/>
      </c>
      <c r="T330" t="n">
        <v>40</v>
      </c>
      <c r="U330" t="inlineStr">
        <is>
          <t>LAUNCH_INVENTORY</t>
        </is>
      </c>
    </row>
    <row r="331">
      <c r="A331" t="inlineStr">
        <is>
          <t>K0108</t>
        </is>
      </c>
      <c r="B331" t="inlineStr">
        <is>
          <t>M06A</t>
        </is>
      </c>
      <c r="C331" t="inlineStr">
        <is>
          <t>WHEELCHAIR COMPONENT OR ACCESSORY, NOT OTHERWISE SPECIFIED</t>
        </is>
      </c>
      <c r="D331" t="n">
        <v>2</v>
      </c>
      <c r="O331">
        <f>IF(P331=H331,IF(ISBLANK(G331),"",F331&amp;" - "&amp;G331),IF(P331=K331,IF(ISBLANK(J331),"",I331&amp;" - "&amp;J331),IF(ISBLANK(M331),"",L331&amp;" - "&amp;M331)))</f>
        <v/>
      </c>
      <c r="P331">
        <f>MIN(H331,K331,N331)</f>
        <v/>
      </c>
      <c r="Q331">
        <f>D331*P331</f>
        <v/>
      </c>
      <c r="R331">
        <f>IF(ISBLANK(E331),0,D331*E331)</f>
        <v/>
      </c>
      <c r="S331">
        <f>IF(R331=0,0,(R331-Q331)/R331)</f>
        <v/>
      </c>
      <c r="T331" t="n">
        <v>40</v>
      </c>
      <c r="U331" t="inlineStr">
        <is>
          <t>LAUNCH_INVENTORY</t>
        </is>
      </c>
    </row>
    <row r="332">
      <c r="A332" t="inlineStr">
        <is>
          <t>E1017</t>
        </is>
      </c>
      <c r="B332" t="inlineStr">
        <is>
          <t>M06A</t>
        </is>
      </c>
      <c r="C332" t="inlineStr">
        <is>
          <t>HEAVY DUTY SHOCK ABSORBER FOR HEAVY DUTY OR EXTRA HEAVY DUTY MANUAL WHEELCHAIR, EACH</t>
        </is>
      </c>
      <c r="D332" t="n">
        <v>2</v>
      </c>
      <c r="O332">
        <f>IF(P332=H332,IF(ISBLANK(G332),"",F332&amp;" - "&amp;G332),IF(P332=K332,IF(ISBLANK(J332),"",I332&amp;" - "&amp;J332),IF(ISBLANK(M332),"",L332&amp;" - "&amp;M332)))</f>
        <v/>
      </c>
      <c r="P332">
        <f>MIN(H332,K332,N332)</f>
        <v/>
      </c>
      <c r="Q332">
        <f>D332*P332</f>
        <v/>
      </c>
      <c r="R332">
        <f>IF(ISBLANK(E332),0,D332*E332)</f>
        <v/>
      </c>
      <c r="S332">
        <f>IF(R332=0,0,(R332-Q332)/R332)</f>
        <v/>
      </c>
      <c r="T332" t="n">
        <v>40</v>
      </c>
      <c r="U332" t="inlineStr">
        <is>
          <t>LAUNCH_INVENTORY</t>
        </is>
      </c>
    </row>
    <row r="333">
      <c r="A333" t="inlineStr">
        <is>
          <t>E0275</t>
        </is>
      </c>
      <c r="B333" t="inlineStr">
        <is>
          <t>DM02</t>
        </is>
      </c>
      <c r="C333" t="inlineStr">
        <is>
          <t>Bedpan - standard</t>
        </is>
      </c>
      <c r="D333" t="n">
        <v>10</v>
      </c>
      <c r="E333" t="n">
        <v>15</v>
      </c>
      <c r="O333">
        <f>IF(P333=H333,IF(ISBLANK(G333),"",F333&amp;" - "&amp;G333),IF(P333=K333,IF(ISBLANK(J333),"",I333&amp;" - "&amp;J333),IF(ISBLANK(M333),"",L333&amp;" - "&amp;M333)))</f>
        <v/>
      </c>
      <c r="P333">
        <f>MIN(H333,K333,N333)</f>
        <v/>
      </c>
      <c r="Q333">
        <f>D333*P333</f>
        <v/>
      </c>
      <c r="R333">
        <f>IF(ISBLANK(E333),0,D333*E333)</f>
        <v/>
      </c>
      <c r="S333">
        <f>IF(R333=0,0,(R333-Q333)/R333)</f>
        <v/>
      </c>
      <c r="T333" t="n">
        <v>40</v>
      </c>
      <c r="U333" t="inlineStr">
        <is>
          <t>LAUNCH_INVENTORY</t>
        </is>
      </c>
    </row>
    <row r="334">
      <c r="A334" t="inlineStr">
        <is>
          <t>E0168</t>
        </is>
      </c>
      <c r="B334" t="inlineStr">
        <is>
          <t>DM02</t>
        </is>
      </c>
      <c r="C334" t="inlineStr">
        <is>
          <t>Commode chair - bariatric</t>
        </is>
      </c>
      <c r="D334" t="n">
        <v>2</v>
      </c>
      <c r="E334" t="n">
        <v>128.66</v>
      </c>
      <c r="O334">
        <f>IF(P334=H334,IF(ISBLANK(G334),"",F334&amp;" - "&amp;G334),IF(P334=K334,IF(ISBLANK(J334),"",I334&amp;" - "&amp;J334),IF(ISBLANK(M334),"",L334&amp;" - "&amp;M334)))</f>
        <v/>
      </c>
      <c r="P334">
        <f>MIN(H334,K334,N334)</f>
        <v/>
      </c>
      <c r="Q334">
        <f>D334*P334</f>
        <v/>
      </c>
      <c r="R334">
        <f>IF(ISBLANK(E334),0,D334*E334)</f>
        <v/>
      </c>
      <c r="S334">
        <f>IF(R334=0,0,(R334-Q334)/R334)</f>
        <v/>
      </c>
      <c r="T334" t="n">
        <v>40</v>
      </c>
      <c r="U334" t="inlineStr">
        <is>
          <t>LAUNCH_INVENTORY</t>
        </is>
      </c>
    </row>
    <row r="335">
      <c r="A335" t="inlineStr">
        <is>
          <t>E0165</t>
        </is>
      </c>
      <c r="B335" t="inlineStr">
        <is>
          <t>DM02</t>
        </is>
      </c>
      <c r="C335" t="inlineStr">
        <is>
          <t>Commode chair - detachable arms</t>
        </is>
      </c>
      <c r="D335" t="n">
        <v>4</v>
      </c>
      <c r="O335">
        <f>IF(P335=H335,IF(ISBLANK(G335),"",F335&amp;" - "&amp;G335),IF(P335=K335,IF(ISBLANK(J335),"",I335&amp;" - "&amp;J335),IF(ISBLANK(M335),"",L335&amp;" - "&amp;M335)))</f>
        <v/>
      </c>
      <c r="P335">
        <f>MIN(H335,K335,N335)</f>
        <v/>
      </c>
      <c r="Q335">
        <f>D335*P335</f>
        <v/>
      </c>
      <c r="R335">
        <f>IF(ISBLANK(E335),0,D335*E335)</f>
        <v/>
      </c>
      <c r="S335">
        <f>IF(R335=0,0,(R335-Q335)/R335)</f>
        <v/>
      </c>
      <c r="T335" t="n">
        <v>40</v>
      </c>
      <c r="U335" t="inlineStr">
        <is>
          <t>LAUNCH_INVENTORY</t>
        </is>
      </c>
    </row>
    <row r="336">
      <c r="A336" t="inlineStr">
        <is>
          <t>E0163</t>
        </is>
      </c>
      <c r="B336" t="inlineStr">
        <is>
          <t>DM02</t>
        </is>
      </c>
      <c r="C336" t="inlineStr">
        <is>
          <t>Commode chair - fixed arms</t>
        </is>
      </c>
      <c r="D336" t="n">
        <v>4</v>
      </c>
      <c r="E336" t="n">
        <v>61.43</v>
      </c>
      <c r="O336">
        <f>IF(P336=H336,IF(ISBLANK(G336),"",F336&amp;" - "&amp;G336),IF(P336=K336,IF(ISBLANK(J336),"",I336&amp;" - "&amp;J336),IF(ISBLANK(M336),"",L336&amp;" - "&amp;M336)))</f>
        <v/>
      </c>
      <c r="P336">
        <f>MIN(H336,K336,N336)</f>
        <v/>
      </c>
      <c r="Q336">
        <f>D336*P336</f>
        <v/>
      </c>
      <c r="R336">
        <f>IF(ISBLANK(E336),0,D336*E336)</f>
        <v/>
      </c>
      <c r="S336">
        <f>IF(R336=0,0,(R336-Q336)/R336)</f>
        <v/>
      </c>
      <c r="T336" t="n">
        <v>40</v>
      </c>
      <c r="U336" t="inlineStr">
        <is>
          <t>LAUNCH_INVENTORY</t>
        </is>
      </c>
    </row>
    <row r="337">
      <c r="A337" t="inlineStr">
        <is>
          <t>A6590</t>
        </is>
      </c>
      <c r="B337" t="inlineStr">
        <is>
          <t>DM29</t>
        </is>
      </c>
      <c r="C337" t="inlineStr">
        <is>
          <t>Suction canister</t>
        </is>
      </c>
      <c r="D337" t="n">
        <v>10</v>
      </c>
      <c r="E337" t="n">
        <v>437.4</v>
      </c>
      <c r="O337">
        <f>IF(P337=H337,IF(ISBLANK(G337),"",F337&amp;" - "&amp;G337),IF(P337=K337,IF(ISBLANK(J337),"",I337&amp;" - "&amp;J337),IF(ISBLANK(M337),"",L337&amp;" - "&amp;M337)))</f>
        <v/>
      </c>
      <c r="P337">
        <f>MIN(H337,K337,N337)</f>
        <v/>
      </c>
      <c r="Q337">
        <f>D337*P337</f>
        <v/>
      </c>
      <c r="R337">
        <f>IF(ISBLANK(E337),0,D337*E337)</f>
        <v/>
      </c>
      <c r="S337">
        <f>IF(R337=0,0,(R337-Q337)/R337)</f>
        <v/>
      </c>
      <c r="T337" t="n">
        <v>40</v>
      </c>
      <c r="U337" t="inlineStr">
        <is>
          <t>LAUNCH_INVENTORY</t>
        </is>
      </c>
    </row>
    <row r="338">
      <c r="A338" t="inlineStr">
        <is>
          <t>A7001</t>
        </is>
      </c>
      <c r="B338" t="inlineStr">
        <is>
          <t>DM29</t>
        </is>
      </c>
      <c r="C338" t="inlineStr">
        <is>
          <t>Suction tubing set</t>
        </is>
      </c>
      <c r="D338" t="n">
        <v>20</v>
      </c>
      <c r="E338" t="n">
        <v>41.69</v>
      </c>
      <c r="O338">
        <f>IF(P338=H338,IF(ISBLANK(G338),"",F338&amp;" - "&amp;G338),IF(P338=K338,IF(ISBLANK(J338),"",I338&amp;" - "&amp;J338),IF(ISBLANK(M338),"",L338&amp;" - "&amp;M338)))</f>
        <v/>
      </c>
      <c r="P338">
        <f>MIN(H338,K338,N338)</f>
        <v/>
      </c>
      <c r="Q338">
        <f>D338*P338</f>
        <v/>
      </c>
      <c r="R338">
        <f>IF(ISBLANK(E338),0,D338*E338)</f>
        <v/>
      </c>
      <c r="S338">
        <f>IF(R338=0,0,(R338-Q338)/R338)</f>
        <v/>
      </c>
      <c r="T338" t="n">
        <v>40</v>
      </c>
      <c r="U338" t="inlineStr">
        <is>
          <t>LAUNCH_INVENTORY</t>
        </is>
      </c>
    </row>
    <row r="339">
      <c r="A339" t="inlineStr">
        <is>
          <t>A4224</t>
        </is>
      </c>
      <c r="B339" t="inlineStr">
        <is>
          <t>DM25</t>
        </is>
      </c>
      <c r="C339" t="inlineStr">
        <is>
          <t>Insulin infusion set</t>
        </is>
      </c>
      <c r="D339" t="n">
        <v>25</v>
      </c>
      <c r="E339" t="n">
        <v>25.19</v>
      </c>
      <c r="O339">
        <f>IF(P339=H339,IF(ISBLANK(G339),"",F339&amp;" - "&amp;G339),IF(P339=K339,IF(ISBLANK(J339),"",I339&amp;" - "&amp;J339),IF(ISBLANK(M339),"",L339&amp;" - "&amp;M339)))</f>
        <v/>
      </c>
      <c r="P339">
        <f>MIN(H339,K339,N339)</f>
        <v/>
      </c>
      <c r="Q339">
        <f>D339*P339</f>
        <v/>
      </c>
      <c r="R339">
        <f>IF(ISBLANK(E339),0,D339*E339)</f>
        <v/>
      </c>
      <c r="S339">
        <f>IF(R339=0,0,(R339-Q339)/R339)</f>
        <v/>
      </c>
      <c r="T339" t="n">
        <v>40</v>
      </c>
      <c r="U339" t="inlineStr">
        <is>
          <t>LAUNCH_INVENTORY</t>
        </is>
      </c>
    </row>
    <row r="340">
      <c r="A340" t="inlineStr">
        <is>
          <t>A4225</t>
        </is>
      </c>
      <c r="B340" t="inlineStr">
        <is>
          <t>DM25</t>
        </is>
      </c>
      <c r="C340" t="inlineStr">
        <is>
          <t>Insulin reservoir</t>
        </is>
      </c>
      <c r="D340" t="n">
        <v>20</v>
      </c>
      <c r="E340" t="n">
        <v>3.38</v>
      </c>
      <c r="O340">
        <f>IF(P340=H340,IF(ISBLANK(G340),"",F340&amp;" - "&amp;G340),IF(P340=K340,IF(ISBLANK(J340),"",I340&amp;" - "&amp;J340),IF(ISBLANK(M340),"",L340&amp;" - "&amp;M340)))</f>
        <v/>
      </c>
      <c r="P340">
        <f>MIN(H340,K340,N340)</f>
        <v/>
      </c>
      <c r="Q340">
        <f>D340*P340</f>
        <v/>
      </c>
      <c r="R340">
        <f>IF(ISBLANK(E340),0,D340*E340)</f>
        <v/>
      </c>
      <c r="S340">
        <f>IF(R340=0,0,(R340-Q340)/R340)</f>
        <v/>
      </c>
      <c r="T340" t="n">
        <v>40</v>
      </c>
      <c r="U340" t="inlineStr">
        <is>
          <t>LAUNCH_INVENTORY</t>
        </is>
      </c>
    </row>
    <row r="341">
      <c r="A341" t="inlineStr">
        <is>
          <t>E0276</t>
        </is>
      </c>
      <c r="B341" t="inlineStr">
        <is>
          <t>DM02</t>
        </is>
      </c>
      <c r="C341" t="inlineStr">
        <is>
          <t>Bedpan - fracture</t>
        </is>
      </c>
      <c r="D341" t="n">
        <v>10</v>
      </c>
      <c r="E341" t="n">
        <v>13.91</v>
      </c>
      <c r="O341">
        <f>IF(P341=H341,IF(ISBLANK(G341),"",F341&amp;" - "&amp;G341),IF(P341=K341,IF(ISBLANK(J341),"",I341&amp;" - "&amp;J341),IF(ISBLANK(M341),"",L341&amp;" - "&amp;M341)))</f>
        <v/>
      </c>
      <c r="P341">
        <f>MIN(H341,K341,N341)</f>
        <v/>
      </c>
      <c r="Q341">
        <f>D341*P341</f>
        <v/>
      </c>
      <c r="R341">
        <f>IF(ISBLANK(E341),0,D341*E341)</f>
        <v/>
      </c>
      <c r="S341">
        <f>IF(R341=0,0,(R341-Q341)/R341)</f>
        <v/>
      </c>
      <c r="T341" t="n">
        <v>40</v>
      </c>
      <c r="U341" t="inlineStr">
        <is>
          <t>LAUNCH_INVENTORY</t>
        </is>
      </c>
    </row>
    <row r="342">
      <c r="A342" t="inlineStr">
        <is>
          <t>E0160</t>
        </is>
      </c>
      <c r="B342" t="inlineStr">
        <is>
          <t>DM02</t>
        </is>
      </c>
      <c r="C342" t="inlineStr">
        <is>
          <t>Sitz bath - portable</t>
        </is>
      </c>
      <c r="D342" t="n">
        <v>2</v>
      </c>
      <c r="E342" t="n">
        <v>34.4</v>
      </c>
      <c r="O342">
        <f>IF(P342=H342,IF(ISBLANK(G342),"",F342&amp;" - "&amp;G342),IF(P342=K342,IF(ISBLANK(J342),"",I342&amp;" - "&amp;J342),IF(ISBLANK(M342),"",L342&amp;" - "&amp;M342)))</f>
        <v/>
      </c>
      <c r="P342">
        <f>MIN(H342,K342,N342)</f>
        <v/>
      </c>
      <c r="Q342">
        <f>D342*P342</f>
        <v/>
      </c>
      <c r="R342">
        <f>IF(ISBLANK(E342),0,D342*E342)</f>
        <v/>
      </c>
      <c r="S342">
        <f>IF(R342=0,0,(R342-Q342)/R342)</f>
        <v/>
      </c>
      <c r="T342" t="n">
        <v>40</v>
      </c>
      <c r="U342" t="inlineStr">
        <is>
          <t>LAUNCH_INVENTORY</t>
        </is>
      </c>
    </row>
    <row r="343">
      <c r="A343" t="inlineStr">
        <is>
          <t>E0161</t>
        </is>
      </c>
      <c r="B343" t="inlineStr">
        <is>
          <t>DM02</t>
        </is>
      </c>
      <c r="C343" t="inlineStr">
        <is>
          <t>Sitz bath - with faucet</t>
        </is>
      </c>
      <c r="D343" t="n">
        <v>1</v>
      </c>
      <c r="E343" t="n">
        <v>28.73</v>
      </c>
      <c r="O343">
        <f>IF(P343=H343,IF(ISBLANK(G343),"",F343&amp;" - "&amp;G343),IF(P343=K343,IF(ISBLANK(J343),"",I343&amp;" - "&amp;J343),IF(ISBLANK(M343),"",L343&amp;" - "&amp;M343)))</f>
        <v/>
      </c>
      <c r="P343">
        <f>MIN(H343,K343,N343)</f>
        <v/>
      </c>
      <c r="Q343">
        <f>D343*P343</f>
        <v/>
      </c>
      <c r="R343">
        <f>IF(ISBLANK(E343),0,D343*E343)</f>
        <v/>
      </c>
      <c r="S343">
        <f>IF(R343=0,0,(R343-Q343)/R343)</f>
        <v/>
      </c>
      <c r="T343" t="n">
        <v>40</v>
      </c>
      <c r="U343" t="inlineStr">
        <is>
          <t>LAUNCH_INVENTORY</t>
        </is>
      </c>
    </row>
    <row r="344">
      <c r="A344" t="inlineStr">
        <is>
          <t>E2001</t>
        </is>
      </c>
      <c r="B344" t="inlineStr">
        <is>
          <t>DM29</t>
        </is>
      </c>
      <c r="C344" t="inlineStr">
        <is>
          <t>Suction pump - portable</t>
        </is>
      </c>
      <c r="D344" t="n">
        <v>3</v>
      </c>
      <c r="O344">
        <f>IF(P344=H344,IF(ISBLANK(G344),"",F344&amp;" - "&amp;G344),IF(P344=K344,IF(ISBLANK(J344),"",I344&amp;" - "&amp;J344),IF(ISBLANK(M344),"",L344&amp;" - "&amp;M344)))</f>
        <v/>
      </c>
      <c r="P344">
        <f>MIN(H344,K344,N344)</f>
        <v/>
      </c>
      <c r="Q344">
        <f>D344*P344</f>
        <v/>
      </c>
      <c r="R344">
        <f>IF(ISBLANK(E344),0,D344*E344)</f>
        <v/>
      </c>
      <c r="S344">
        <f>IF(R344=0,0,(R344-Q344)/R344)</f>
        <v/>
      </c>
      <c r="T344" t="n">
        <v>40</v>
      </c>
      <c r="U344" t="inlineStr">
        <is>
          <t>LAUNCH_INVENTORY</t>
        </is>
      </c>
    </row>
    <row r="345">
      <c r="A345" t="inlineStr">
        <is>
          <t>K0552</t>
        </is>
      </c>
      <c r="B345" t="inlineStr">
        <is>
          <t>DM25</t>
        </is>
      </c>
      <c r="C345" t="inlineStr">
        <is>
          <t>Insulin pump supplies</t>
        </is>
      </c>
      <c r="D345" t="n">
        <v>15</v>
      </c>
      <c r="E345" t="n">
        <v>3.38</v>
      </c>
      <c r="O345">
        <f>IF(P345=H345,IF(ISBLANK(G345),"",F345&amp;" - "&amp;G345),IF(P345=K345,IF(ISBLANK(J345),"",I345&amp;" - "&amp;J345),IF(ISBLANK(M345),"",L345&amp;" - "&amp;M345)))</f>
        <v/>
      </c>
      <c r="P345">
        <f>MIN(H345,K345,N345)</f>
        <v/>
      </c>
      <c r="Q345">
        <f>D345*P345</f>
        <v/>
      </c>
      <c r="R345">
        <f>IF(ISBLANK(E345),0,D345*E345)</f>
        <v/>
      </c>
      <c r="S345">
        <f>IF(R345=0,0,(R345-Q345)/R345)</f>
        <v/>
      </c>
      <c r="T345" t="n">
        <v>40</v>
      </c>
      <c r="U345" t="inlineStr">
        <is>
          <t>LAUNCH_INVENTORY</t>
        </is>
      </c>
    </row>
    <row r="346">
      <c r="A346" t="inlineStr">
        <is>
          <t>E0572</t>
        </is>
      </c>
      <c r="B346" t="inlineStr">
        <is>
          <t>R07</t>
        </is>
      </c>
      <c r="C346" t="inlineStr">
        <is>
          <t>Nebulizer - aerosol compressor</t>
        </is>
      </c>
      <c r="D346" t="n">
        <v>3</v>
      </c>
      <c r="O346">
        <f>IF(P346=H346,IF(ISBLANK(G346),"",F346&amp;" - "&amp;G346),IF(P346=K346,IF(ISBLANK(J346),"",I346&amp;" - "&amp;J346),IF(ISBLANK(M346),"",L346&amp;" - "&amp;M346)))</f>
        <v/>
      </c>
      <c r="P346">
        <f>MIN(H346,K346,N346)</f>
        <v/>
      </c>
      <c r="Q346">
        <f>D346*P346</f>
        <v/>
      </c>
      <c r="R346">
        <f>IF(ISBLANK(E346),0,D346*E346)</f>
        <v/>
      </c>
      <c r="S346">
        <f>IF(R346=0,0,(R346-Q346)/R346)</f>
        <v/>
      </c>
      <c r="T346" t="n">
        <v>40</v>
      </c>
      <c r="U346" t="inlineStr">
        <is>
          <t>LAUNCH_INVENTORY</t>
        </is>
      </c>
    </row>
    <row r="347">
      <c r="A347" t="inlineStr">
        <is>
          <t>A7015</t>
        </is>
      </c>
      <c r="B347" t="inlineStr">
        <is>
          <t>R07</t>
        </is>
      </c>
      <c r="C347" t="inlineStr">
        <is>
          <t>Nebulizer mask - adult</t>
        </is>
      </c>
      <c r="D347" t="n">
        <v>30</v>
      </c>
      <c r="E347" t="n">
        <v>1.47</v>
      </c>
      <c r="O347">
        <f>IF(P347=H347,IF(ISBLANK(G347),"",F347&amp;" - "&amp;G347),IF(P347=K347,IF(ISBLANK(J347),"",I347&amp;" - "&amp;J347),IF(ISBLANK(M347),"",L347&amp;" - "&amp;M347)))</f>
        <v/>
      </c>
      <c r="P347">
        <f>MIN(H347,K347,N347)</f>
        <v/>
      </c>
      <c r="Q347">
        <f>D347*P347</f>
        <v/>
      </c>
      <c r="R347">
        <f>IF(ISBLANK(E347),0,D347*E347)</f>
        <v/>
      </c>
      <c r="S347">
        <f>IF(R347=0,0,(R347-Q347)/R347)</f>
        <v/>
      </c>
      <c r="T347" t="n">
        <v>40</v>
      </c>
      <c r="U347" t="inlineStr">
        <is>
          <t>LAUNCH_INVENTORY</t>
        </is>
      </c>
    </row>
    <row r="348">
      <c r="A348" t="inlineStr">
        <is>
          <t>A7016</t>
        </is>
      </c>
      <c r="B348" t="inlineStr">
        <is>
          <t>R07</t>
        </is>
      </c>
      <c r="C348" t="inlineStr">
        <is>
          <t>Nebulizer mask - pediatric</t>
        </is>
      </c>
      <c r="D348" t="n">
        <v>15</v>
      </c>
      <c r="E348" t="n">
        <v>9.130000000000001</v>
      </c>
      <c r="O348">
        <f>IF(P348=H348,IF(ISBLANK(G348),"",F348&amp;" - "&amp;G348),IF(P348=K348,IF(ISBLANK(J348),"",I348&amp;" - "&amp;J348),IF(ISBLANK(M348),"",L348&amp;" - "&amp;M348)))</f>
        <v/>
      </c>
      <c r="P348">
        <f>MIN(H348,K348,N348)</f>
        <v/>
      </c>
      <c r="Q348">
        <f>D348*P348</f>
        <v/>
      </c>
      <c r="R348">
        <f>IF(ISBLANK(E348),0,D348*E348)</f>
        <v/>
      </c>
      <c r="S348">
        <f>IF(R348=0,0,(R348-Q348)/R348)</f>
        <v/>
      </c>
      <c r="T348" t="n">
        <v>40</v>
      </c>
      <c r="U348" t="inlineStr">
        <is>
          <t>LAUNCH_INVENTORY</t>
        </is>
      </c>
    </row>
    <row r="349">
      <c r="A349" t="inlineStr">
        <is>
          <t>L0120</t>
        </is>
      </c>
      <c r="B349" t="inlineStr">
        <is>
          <t>OR03</t>
        </is>
      </c>
      <c r="C349" t="inlineStr">
        <is>
          <t>Cervical collar - soft foam</t>
        </is>
      </c>
      <c r="D349" t="n">
        <v>2</v>
      </c>
      <c r="E349" t="n">
        <v>29.9</v>
      </c>
      <c r="O349">
        <f>IF(P349=H349,IF(ISBLANK(G349),"",F349&amp;" - "&amp;G349),IF(P349=K349,IF(ISBLANK(J349),"",I349&amp;" - "&amp;J349),IF(ISBLANK(M349),"",L349&amp;" - "&amp;M349)))</f>
        <v/>
      </c>
      <c r="P349">
        <f>MIN(H349,K349,N349)</f>
        <v/>
      </c>
      <c r="Q349">
        <f>D349*P349</f>
        <v/>
      </c>
      <c r="R349">
        <f>IF(ISBLANK(E349),0,D349*E349)</f>
        <v/>
      </c>
      <c r="S349">
        <f>IF(R349=0,0,(R349-Q349)/R349)</f>
        <v/>
      </c>
      <c r="T349" t="n">
        <v>40</v>
      </c>
      <c r="U349" t="inlineStr">
        <is>
          <t>LAUNCH_INVENTORY</t>
        </is>
      </c>
    </row>
    <row r="350">
      <c r="A350" t="inlineStr">
        <is>
          <t>L3702</t>
        </is>
      </c>
      <c r="B350" t="inlineStr">
        <is>
          <t>OR03</t>
        </is>
      </c>
      <c r="C350" t="inlineStr">
        <is>
          <t>Elbow orthosis - without joints</t>
        </is>
      </c>
      <c r="D350" t="n">
        <v>3</v>
      </c>
      <c r="O350">
        <f>IF(P350=H350,IF(ISBLANK(G350),"",F350&amp;" - "&amp;G350),IF(P350=K350,IF(ISBLANK(J350),"",I350&amp;" - "&amp;J350),IF(ISBLANK(M350),"",L350&amp;" - "&amp;M350)))</f>
        <v/>
      </c>
      <c r="P350">
        <f>MIN(H350,K350,N350)</f>
        <v/>
      </c>
      <c r="Q350">
        <f>D350*P350</f>
        <v/>
      </c>
      <c r="R350">
        <f>IF(ISBLANK(E350),0,D350*E350)</f>
        <v/>
      </c>
      <c r="S350">
        <f>IF(R350=0,0,(R350-Q350)/R350)</f>
        <v/>
      </c>
      <c r="T350" t="n">
        <v>40</v>
      </c>
      <c r="U350" t="inlineStr">
        <is>
          <t>LAUNCH_INVENTORY</t>
        </is>
      </c>
    </row>
    <row r="351">
      <c r="A351" t="inlineStr">
        <is>
          <t>L3916</t>
        </is>
      </c>
      <c r="B351" t="inlineStr">
        <is>
          <t>OR03</t>
        </is>
      </c>
      <c r="C351" t="inlineStr">
        <is>
          <t>Wrist-hand orthosis - includes fingers</t>
        </is>
      </c>
      <c r="D351" t="n">
        <v>4</v>
      </c>
      <c r="E351" t="n">
        <v>568.9</v>
      </c>
      <c r="O351">
        <f>IF(P351=H351,IF(ISBLANK(G351),"",F351&amp;" - "&amp;G351),IF(P351=K351,IF(ISBLANK(J351),"",I351&amp;" - "&amp;J351),IF(ISBLANK(M351),"",L351&amp;" - "&amp;M351)))</f>
        <v/>
      </c>
      <c r="P351">
        <f>MIN(H351,K351,N351)</f>
        <v/>
      </c>
      <c r="Q351">
        <f>D351*P351</f>
        <v/>
      </c>
      <c r="R351">
        <f>IF(ISBLANK(E351),0,D351*E351)</f>
        <v/>
      </c>
      <c r="S351">
        <f>IF(R351=0,0,(R351-Q351)/R351)</f>
        <v/>
      </c>
      <c r="T351" t="n">
        <v>40</v>
      </c>
      <c r="U351" t="inlineStr">
        <is>
          <t>LAUNCH_INVENTORY</t>
        </is>
      </c>
    </row>
    <row r="352">
      <c r="A352" t="inlineStr">
        <is>
          <t>A7003</t>
        </is>
      </c>
      <c r="B352" t="inlineStr">
        <is>
          <t>R07</t>
        </is>
      </c>
      <c r="C352" t="inlineStr">
        <is>
          <t>Nebulizer tubing - disposable</t>
        </is>
      </c>
      <c r="D352" t="n">
        <v>40</v>
      </c>
      <c r="E352" t="n">
        <v>1.89</v>
      </c>
      <c r="O352">
        <f>IF(P352=H352,IF(ISBLANK(G352),"",F352&amp;" - "&amp;G352),IF(P352=K352,IF(ISBLANK(J352),"",I352&amp;" - "&amp;J352),IF(ISBLANK(M352),"",L352&amp;" - "&amp;M352)))</f>
        <v/>
      </c>
      <c r="P352">
        <f>MIN(H352,K352,N352)</f>
        <v/>
      </c>
      <c r="Q352">
        <f>D352*P352</f>
        <v/>
      </c>
      <c r="R352">
        <f>IF(ISBLANK(E352),0,D352*E352)</f>
        <v/>
      </c>
      <c r="S352">
        <f>IF(R352=0,0,(R352-Q352)/R352)</f>
        <v/>
      </c>
      <c r="T352" t="n">
        <v>40</v>
      </c>
      <c r="U352" t="inlineStr">
        <is>
          <t>LAUNCH_INVENTORY</t>
        </is>
      </c>
    </row>
    <row r="353">
      <c r="A353" t="inlineStr">
        <is>
          <t>E0890</t>
        </is>
      </c>
      <c r="B353" t="inlineStr">
        <is>
          <t>DM21</t>
        </is>
      </c>
      <c r="C353" t="inlineStr">
        <is>
          <t>Pelvic traction setup</t>
        </is>
      </c>
      <c r="D353" t="n">
        <v>1</v>
      </c>
      <c r="E353" t="n">
        <v>168.22</v>
      </c>
      <c r="O353">
        <f>IF(P353=H353,IF(ISBLANK(G353),"",F353&amp;" - "&amp;G353),IF(P353=K353,IF(ISBLANK(J353),"",I353&amp;" - "&amp;J353),IF(ISBLANK(M353),"",L353&amp;" - "&amp;M353)))</f>
        <v/>
      </c>
      <c r="P353">
        <f>MIN(H353,K353,N353)</f>
        <v/>
      </c>
      <c r="Q353">
        <f>D353*P353</f>
        <v/>
      </c>
      <c r="R353">
        <f>IF(ISBLANK(E353),0,D353*E353)</f>
        <v/>
      </c>
      <c r="S353">
        <f>IF(R353=0,0,(R353-Q353)/R353)</f>
        <v/>
      </c>
      <c r="T353" t="n">
        <v>40</v>
      </c>
      <c r="U353" t="inlineStr">
        <is>
          <t>LAUNCH_INVENTORY</t>
        </is>
      </c>
    </row>
    <row r="354">
      <c r="A354" t="inlineStr">
        <is>
          <t>B4160</t>
        </is>
      </c>
      <c r="B354" t="inlineStr">
        <is>
          <t>PE03</t>
        </is>
      </c>
      <c r="C354" t="inlineStr">
        <is>
          <t>Enteral formula - pediatric</t>
        </is>
      </c>
      <c r="D354" t="n">
        <v>10</v>
      </c>
      <c r="O354">
        <f>IF(P354=H354,IF(ISBLANK(G354),"",F354&amp;" - "&amp;G354),IF(P354=K354,IF(ISBLANK(J354),"",I354&amp;" - "&amp;J354),IF(ISBLANK(M354),"",L354&amp;" - "&amp;M354)))</f>
        <v/>
      </c>
      <c r="P354">
        <f>MIN(H354,K354,N354)</f>
        <v/>
      </c>
      <c r="Q354">
        <f>D354*P354</f>
        <v/>
      </c>
      <c r="R354">
        <f>IF(ISBLANK(E354),0,D354*E354)</f>
        <v/>
      </c>
      <c r="S354">
        <f>IF(R354=0,0,(R354-Q354)/R354)</f>
        <v/>
      </c>
      <c r="T354" t="n">
        <v>40</v>
      </c>
      <c r="U354" t="inlineStr">
        <is>
          <t>LAUNCH_INVENTORY</t>
        </is>
      </c>
    </row>
    <row r="355">
      <c r="A355" t="inlineStr">
        <is>
          <t>B4161</t>
        </is>
      </c>
      <c r="B355" t="inlineStr">
        <is>
          <t>PE03</t>
        </is>
      </c>
      <c r="C355" t="inlineStr">
        <is>
          <t>Enteral formula - specialized infant</t>
        </is>
      </c>
      <c r="D355" t="n">
        <v>5</v>
      </c>
      <c r="O355">
        <f>IF(P355=H355,IF(ISBLANK(G355),"",F355&amp;" - "&amp;G355),IF(P355=K355,IF(ISBLANK(J355),"",I355&amp;" - "&amp;J355),IF(ISBLANK(M355),"",L355&amp;" - "&amp;M355)))</f>
        <v/>
      </c>
      <c r="P355">
        <f>MIN(H355,K355,N355)</f>
        <v/>
      </c>
      <c r="Q355">
        <f>D355*P355</f>
        <v/>
      </c>
      <c r="R355">
        <f>IF(ISBLANK(E355),0,D355*E355)</f>
        <v/>
      </c>
      <c r="S355">
        <f>IF(R355=0,0,(R355-Q355)/R355)</f>
        <v/>
      </c>
      <c r="T355" t="n">
        <v>40</v>
      </c>
      <c r="U355" t="inlineStr">
        <is>
          <t>LAUNCH_INVENTORY</t>
        </is>
      </c>
    </row>
    <row r="356">
      <c r="A356" t="inlineStr">
        <is>
          <t>E0776</t>
        </is>
      </c>
      <c r="B356" t="inlineStr">
        <is>
          <t>PE04</t>
        </is>
      </c>
      <c r="C356" t="inlineStr">
        <is>
          <t>Enteral feeding pump</t>
        </is>
      </c>
      <c r="D356" t="n">
        <v>2</v>
      </c>
      <c r="E356" t="n">
        <v>64.95999999999999</v>
      </c>
      <c r="O356">
        <f>IF(P356=H356,IF(ISBLANK(G356),"",F356&amp;" - "&amp;G356),IF(P356=K356,IF(ISBLANK(J356),"",I356&amp;" - "&amp;J356),IF(ISBLANK(M356),"",L356&amp;" - "&amp;M356)))</f>
        <v/>
      </c>
      <c r="P356">
        <f>MIN(H356,K356,N356)</f>
        <v/>
      </c>
      <c r="Q356">
        <f>D356*P356</f>
        <v/>
      </c>
      <c r="R356">
        <f>IF(ISBLANK(E356),0,D356*E356)</f>
        <v/>
      </c>
      <c r="S356">
        <f>IF(R356=0,0,(R356-Q356)/R356)</f>
        <v/>
      </c>
      <c r="T356" t="n">
        <v>40</v>
      </c>
      <c r="U356" t="inlineStr">
        <is>
          <t>LAUNCH_INVENTORY</t>
        </is>
      </c>
    </row>
    <row r="357">
      <c r="A357" t="inlineStr">
        <is>
          <t>L0172</t>
        </is>
      </c>
      <c r="B357" t="inlineStr">
        <is>
          <t>OR03</t>
        </is>
      </c>
      <c r="C357" t="inlineStr">
        <is>
          <t>Cervical collar - semi-rigid</t>
        </is>
      </c>
      <c r="D357" t="n">
        <v>2</v>
      </c>
      <c r="E357" t="n">
        <v>164.87</v>
      </c>
      <c r="O357">
        <f>IF(P357=H357,IF(ISBLANK(G357),"",F357&amp;" - "&amp;G357),IF(P357=K357,IF(ISBLANK(J357),"",I357&amp;" - "&amp;J357),IF(ISBLANK(M357),"",L357&amp;" - "&amp;M357)))</f>
        <v/>
      </c>
      <c r="P357">
        <f>MIN(H357,K357,N357)</f>
        <v/>
      </c>
      <c r="Q357">
        <f>D357*P357</f>
        <v/>
      </c>
      <c r="R357">
        <f>IF(ISBLANK(E357),0,D357*E357)</f>
        <v/>
      </c>
      <c r="S357">
        <f>IF(R357=0,0,(R357-Q357)/R357)</f>
        <v/>
      </c>
      <c r="T357" t="n">
        <v>40</v>
      </c>
      <c r="U357" t="inlineStr">
        <is>
          <t>LAUNCH_INVENTORY</t>
        </is>
      </c>
    </row>
    <row r="358">
      <c r="A358" t="inlineStr">
        <is>
          <t>E0781</t>
        </is>
      </c>
      <c r="B358" t="inlineStr">
        <is>
          <t>DM12</t>
        </is>
      </c>
      <c r="C358" t="inlineStr">
        <is>
          <t>Ambulatory infusion pump</t>
        </is>
      </c>
      <c r="D358" t="n">
        <v>2</v>
      </c>
      <c r="O358">
        <f>IF(P358=H358,IF(ISBLANK(G358),"",F358&amp;" - "&amp;G358),IF(P358=K358,IF(ISBLANK(J358),"",I358&amp;" - "&amp;J358),IF(ISBLANK(M358),"",L358&amp;" - "&amp;M358)))</f>
        <v/>
      </c>
      <c r="P358">
        <f>MIN(H358,K358,N358)</f>
        <v/>
      </c>
      <c r="Q358">
        <f>D358*P358</f>
        <v/>
      </c>
      <c r="R358">
        <f>IF(ISBLANK(E358),0,D358*E358)</f>
        <v/>
      </c>
      <c r="S358">
        <f>IF(R358=0,0,(R358-Q358)/R358)</f>
        <v/>
      </c>
      <c r="T358" t="n">
        <v>40</v>
      </c>
      <c r="U358" t="inlineStr">
        <is>
          <t>LAUNCH_INVENTORY</t>
        </is>
      </c>
    </row>
    <row r="359">
      <c r="A359" t="inlineStr">
        <is>
          <t>E0779</t>
        </is>
      </c>
      <c r="B359" t="inlineStr">
        <is>
          <t>DM12</t>
        </is>
      </c>
      <c r="C359" t="inlineStr">
        <is>
          <t>Stationary infusion pump</t>
        </is>
      </c>
      <c r="D359" t="n">
        <v>1</v>
      </c>
      <c r="O359">
        <f>IF(P359=H359,IF(ISBLANK(G359),"",F359&amp;" - "&amp;G359),IF(P359=K359,IF(ISBLANK(J359),"",I359&amp;" - "&amp;J359),IF(ISBLANK(M359),"",L359&amp;" - "&amp;M359)))</f>
        <v/>
      </c>
      <c r="P359">
        <f>MIN(H359,K359,N359)</f>
        <v/>
      </c>
      <c r="Q359">
        <f>D359*P359</f>
        <v/>
      </c>
      <c r="R359">
        <f>IF(ISBLANK(E359),0,D359*E359)</f>
        <v/>
      </c>
      <c r="S359">
        <f>IF(R359=0,0,(R359-Q359)/R359)</f>
        <v/>
      </c>
      <c r="T359" t="n">
        <v>40</v>
      </c>
      <c r="U359" t="inlineStr">
        <is>
          <t>LAUNCH_INVENTORY</t>
        </is>
      </c>
    </row>
    <row r="360">
      <c r="A360" t="inlineStr">
        <is>
          <t>A4305</t>
        </is>
      </c>
      <c r="B360" t="inlineStr">
        <is>
          <t>DM12</t>
        </is>
      </c>
      <c r="C360" t="inlineStr">
        <is>
          <t>Infusion pump supply - drug cassette</t>
        </is>
      </c>
      <c r="D360" t="n">
        <v>10</v>
      </c>
      <c r="O360">
        <f>IF(P360=H360,IF(ISBLANK(G360),"",F360&amp;" - "&amp;G360),IF(P360=K360,IF(ISBLANK(J360),"",I360&amp;" - "&amp;J360),IF(ISBLANK(M360),"",L360&amp;" - "&amp;M360)))</f>
        <v/>
      </c>
      <c r="P360">
        <f>MIN(H360,K360,N360)</f>
        <v/>
      </c>
      <c r="Q360">
        <f>D360*P360</f>
        <v/>
      </c>
      <c r="R360">
        <f>IF(ISBLANK(E360),0,D360*E360)</f>
        <v/>
      </c>
      <c r="S360">
        <f>IF(R360=0,0,(R360-Q360)/R360)</f>
        <v/>
      </c>
      <c r="T360" t="n">
        <v>40</v>
      </c>
      <c r="U360" t="inlineStr">
        <is>
          <t>LAUNCH_INVENTORY</t>
        </is>
      </c>
    </row>
    <row r="361">
      <c r="A361" t="inlineStr">
        <is>
          <t>A4306</t>
        </is>
      </c>
      <c r="B361" t="inlineStr">
        <is>
          <t>DM12</t>
        </is>
      </c>
      <c r="C361" t="inlineStr">
        <is>
          <t>Infusion pump supply - administration set</t>
        </is>
      </c>
      <c r="D361" t="n">
        <v>10</v>
      </c>
      <c r="O361">
        <f>IF(P361=H361,IF(ISBLANK(G361),"",F361&amp;" - "&amp;G361),IF(P361=K361,IF(ISBLANK(J361),"",I361&amp;" - "&amp;J361),IF(ISBLANK(M361),"",L361&amp;" - "&amp;M361)))</f>
        <v/>
      </c>
      <c r="P361">
        <f>MIN(H361,K361,N361)</f>
        <v/>
      </c>
      <c r="Q361">
        <f>D361*P361</f>
        <v/>
      </c>
      <c r="R361">
        <f>IF(ISBLANK(E361),0,D361*E361)</f>
        <v/>
      </c>
      <c r="S361">
        <f>IF(R361=0,0,(R361-Q361)/R361)</f>
        <v/>
      </c>
      <c r="T361" t="n">
        <v>40</v>
      </c>
      <c r="U361" t="inlineStr">
        <is>
          <t>LAUNCH_INVENTORY</t>
        </is>
      </c>
    </row>
    <row r="362">
      <c r="A362" t="inlineStr">
        <is>
          <t>E2402</t>
        </is>
      </c>
      <c r="B362" t="inlineStr">
        <is>
          <t>DM15</t>
        </is>
      </c>
      <c r="C362" t="inlineStr">
        <is>
          <t>Negative pressure wound therapy pump</t>
        </is>
      </c>
      <c r="D362" t="n">
        <v>1</v>
      </c>
      <c r="O362">
        <f>IF(P362=H362,IF(ISBLANK(G362),"",F362&amp;" - "&amp;G362),IF(P362=K362,IF(ISBLANK(J362),"",I362&amp;" - "&amp;J362),IF(ISBLANK(M362),"",L362&amp;" - "&amp;M362)))</f>
        <v/>
      </c>
      <c r="P362">
        <f>MIN(H362,K362,N362)</f>
        <v/>
      </c>
      <c r="Q362">
        <f>D362*P362</f>
        <v/>
      </c>
      <c r="R362">
        <f>IF(ISBLANK(E362),0,D362*E362)</f>
        <v/>
      </c>
      <c r="S362">
        <f>IF(R362=0,0,(R362-Q362)/R362)</f>
        <v/>
      </c>
      <c r="T362" t="n">
        <v>40</v>
      </c>
      <c r="U362" t="inlineStr">
        <is>
          <t>LAUNCH_INVENTORY</t>
        </is>
      </c>
    </row>
    <row r="363">
      <c r="A363" t="inlineStr">
        <is>
          <t>A7000</t>
        </is>
      </c>
      <c r="B363" t="inlineStr">
        <is>
          <t>DM15</t>
        </is>
      </c>
      <c r="C363" t="inlineStr">
        <is>
          <t>NPWT canister - disposable</t>
        </is>
      </c>
      <c r="D363" t="n">
        <v>10</v>
      </c>
      <c r="E363" t="n">
        <v>9.1</v>
      </c>
      <c r="O363">
        <f>IF(P363=H363,IF(ISBLANK(G363),"",F363&amp;" - "&amp;G363),IF(P363=K363,IF(ISBLANK(J363),"",I363&amp;" - "&amp;J363),IF(ISBLANK(M363),"",L363&amp;" - "&amp;M363)))</f>
        <v/>
      </c>
      <c r="P363">
        <f>MIN(H363,K363,N363)</f>
        <v/>
      </c>
      <c r="Q363">
        <f>D363*P363</f>
        <v/>
      </c>
      <c r="R363">
        <f>IF(ISBLANK(E363),0,D363*E363)</f>
        <v/>
      </c>
      <c r="S363">
        <f>IF(R363=0,0,(R363-Q363)/R363)</f>
        <v/>
      </c>
      <c r="T363" t="n">
        <v>40</v>
      </c>
      <c r="U363" t="inlineStr">
        <is>
          <t>LAUNCH_INVENTORY</t>
        </is>
      </c>
    </row>
    <row r="364">
      <c r="A364" t="inlineStr">
        <is>
          <t>A6550</t>
        </is>
      </c>
      <c r="B364" t="inlineStr">
        <is>
          <t>DM15</t>
        </is>
      </c>
      <c r="C364" t="inlineStr">
        <is>
          <t>NPWT dressing kit</t>
        </is>
      </c>
      <c r="D364" t="n">
        <v>10</v>
      </c>
      <c r="E364" t="n">
        <v>30.45</v>
      </c>
      <c r="O364">
        <f>IF(P364=H364,IF(ISBLANK(G364),"",F364&amp;" - "&amp;G364),IF(P364=K364,IF(ISBLANK(J364),"",I364&amp;" - "&amp;J364),IF(ISBLANK(M364),"",L364&amp;" - "&amp;M364)))</f>
        <v/>
      </c>
      <c r="P364">
        <f>MIN(H364,K364,N364)</f>
        <v/>
      </c>
      <c r="Q364">
        <f>D364*P364</f>
        <v/>
      </c>
      <c r="R364">
        <f>IF(ISBLANK(E364),0,D364*E364)</f>
        <v/>
      </c>
      <c r="S364">
        <f>IF(R364=0,0,(R364-Q364)/R364)</f>
        <v/>
      </c>
      <c r="T364" t="n">
        <v>40</v>
      </c>
      <c r="U364" t="inlineStr">
        <is>
          <t>LAUNCH_INVENTORY</t>
        </is>
      </c>
    </row>
    <row r="365">
      <c r="A365" t="inlineStr">
        <is>
          <t>E0760</t>
        </is>
      </c>
      <c r="B365" t="inlineStr">
        <is>
          <t>DM17</t>
        </is>
      </c>
      <c r="C365" t="inlineStr">
        <is>
          <t>Osteogenesis stimulator - ultrasonic</t>
        </is>
      </c>
      <c r="D365" t="n">
        <v>1</v>
      </c>
      <c r="E365" t="n">
        <v>4517.27</v>
      </c>
      <c r="O365">
        <f>IF(P365=H365,IF(ISBLANK(G365),"",F365&amp;" - "&amp;G365),IF(P365=K365,IF(ISBLANK(J365),"",I365&amp;" - "&amp;J365),IF(ISBLANK(M365),"",L365&amp;" - "&amp;M365)))</f>
        <v/>
      </c>
      <c r="P365">
        <f>MIN(H365,K365,N365)</f>
        <v/>
      </c>
      <c r="Q365">
        <f>D365*P365</f>
        <v/>
      </c>
      <c r="R365">
        <f>IF(ISBLANK(E365),0,D365*E365)</f>
        <v/>
      </c>
      <c r="S365">
        <f>IF(R365=0,0,(R365-Q365)/R365)</f>
        <v/>
      </c>
      <c r="T365" t="n">
        <v>40</v>
      </c>
      <c r="U365" t="inlineStr">
        <is>
          <t>LAUNCH_INVENTORY</t>
        </is>
      </c>
    </row>
    <row r="366">
      <c r="A366" t="inlineStr">
        <is>
          <t>E0747</t>
        </is>
      </c>
      <c r="B366" t="inlineStr">
        <is>
          <t>DM17</t>
        </is>
      </c>
      <c r="C366" t="inlineStr">
        <is>
          <t>Osteogenesis stimulator - electromagnetic</t>
        </is>
      </c>
      <c r="D366" t="n">
        <v>1</v>
      </c>
      <c r="E366" t="n">
        <v>5437.38</v>
      </c>
      <c r="O366">
        <f>IF(P366=H366,IF(ISBLANK(G366),"",F366&amp;" - "&amp;G366),IF(P366=K366,IF(ISBLANK(J366),"",I366&amp;" - "&amp;J366),IF(ISBLANK(M366),"",L366&amp;" - "&amp;M366)))</f>
        <v/>
      </c>
      <c r="P366">
        <f>MIN(H366,K366,N366)</f>
        <v/>
      </c>
      <c r="Q366">
        <f>D366*P366</f>
        <v/>
      </c>
      <c r="R366">
        <f>IF(ISBLANK(E366),0,D366*E366)</f>
        <v/>
      </c>
      <c r="S366">
        <f>IF(R366=0,0,(R366-Q366)/R366)</f>
        <v/>
      </c>
      <c r="T366" t="n">
        <v>40</v>
      </c>
      <c r="U366" t="inlineStr">
        <is>
          <t>LAUNCH_INVENTORY</t>
        </is>
      </c>
    </row>
    <row r="367">
      <c r="A367" t="inlineStr">
        <is>
          <t>E0855</t>
        </is>
      </c>
      <c r="B367" t="inlineStr">
        <is>
          <t>DM21</t>
        </is>
      </c>
      <c r="C367" t="inlineStr">
        <is>
          <t>Cervical traction equipment</t>
        </is>
      </c>
      <c r="D367" t="n">
        <v>2</v>
      </c>
      <c r="O367">
        <f>IF(P367=H367,IF(ISBLANK(G367),"",F367&amp;" - "&amp;G367),IF(P367=K367,IF(ISBLANK(J367),"",I367&amp;" - "&amp;J367),IF(ISBLANK(M367),"",L367&amp;" - "&amp;M367)))</f>
        <v/>
      </c>
      <c r="P367">
        <f>MIN(H367,K367,N367)</f>
        <v/>
      </c>
      <c r="Q367">
        <f>D367*P367</f>
        <v/>
      </c>
      <c r="R367">
        <f>IF(ISBLANK(E367),0,D367*E367)</f>
        <v/>
      </c>
      <c r="S367">
        <f>IF(R367=0,0,(R367-Q367)/R367)</f>
        <v/>
      </c>
      <c r="T367" t="n">
        <v>40</v>
      </c>
      <c r="U367" t="inlineStr">
        <is>
          <t>LAUNCH_INVENTORY</t>
        </is>
      </c>
    </row>
    <row r="368">
      <c r="A368" t="inlineStr">
        <is>
          <t>E0830</t>
        </is>
      </c>
      <c r="B368" t="inlineStr">
        <is>
          <t>DM21</t>
        </is>
      </c>
      <c r="C368" t="inlineStr">
        <is>
          <t>Ambulatory traction device</t>
        </is>
      </c>
      <c r="D368" t="n">
        <v>1</v>
      </c>
      <c r="O368">
        <f>IF(P368=H368,IF(ISBLANK(G368),"",F368&amp;" - "&amp;G368),IF(P368=K368,IF(ISBLANK(J368),"",I368&amp;" - "&amp;J368),IF(ISBLANK(M368),"",L368&amp;" - "&amp;M368)))</f>
        <v/>
      </c>
      <c r="P368">
        <f>MIN(H368,K368,N368)</f>
        <v/>
      </c>
      <c r="Q368">
        <f>D368*P368</f>
        <v/>
      </c>
      <c r="R368">
        <f>IF(ISBLANK(E368),0,D368*E368)</f>
        <v/>
      </c>
      <c r="S368">
        <f>IF(R368=0,0,(R368-Q368)/R368)</f>
        <v/>
      </c>
      <c r="T368" t="n">
        <v>40</v>
      </c>
      <c r="U368" t="inlineStr">
        <is>
          <t>LAUNCH_INVENTORY</t>
        </is>
      </c>
    </row>
    <row r="369">
      <c r="A369" t="inlineStr">
        <is>
          <t>A7520</t>
        </is>
      </c>
      <c r="B369" t="inlineStr">
        <is>
          <t>PD08</t>
        </is>
      </c>
      <c r="C369" t="inlineStr">
        <is>
          <t>Tracheostomy tube - cuffed</t>
        </is>
      </c>
      <c r="D369" t="n">
        <v>5</v>
      </c>
      <c r="E369" t="n">
        <v>66.33</v>
      </c>
      <c r="O369">
        <f>IF(P369=H369,IF(ISBLANK(G369),"",F369&amp;" - "&amp;G369),IF(P369=K369,IF(ISBLANK(J369),"",I369&amp;" - "&amp;J369),IF(ISBLANK(M369),"",L369&amp;" - "&amp;M369)))</f>
        <v/>
      </c>
      <c r="P369">
        <f>MIN(H369,K369,N369)</f>
        <v/>
      </c>
      <c r="Q369">
        <f>D369*P369</f>
        <v/>
      </c>
      <c r="R369">
        <f>IF(ISBLANK(E369),0,D369*E369)</f>
        <v/>
      </c>
      <c r="S369">
        <f>IF(R369=0,0,(R369-Q369)/R369)</f>
        <v/>
      </c>
      <c r="T369" t="n">
        <v>40</v>
      </c>
      <c r="U369" t="inlineStr">
        <is>
          <t>LAUNCH_INVENTORY</t>
        </is>
      </c>
    </row>
    <row r="370">
      <c r="A370" t="inlineStr">
        <is>
          <t>A7521</t>
        </is>
      </c>
      <c r="B370" t="inlineStr">
        <is>
          <t>PD08</t>
        </is>
      </c>
      <c r="C370" t="inlineStr">
        <is>
          <t>Tracheostomy tube - uncuffed</t>
        </is>
      </c>
      <c r="D370" t="n">
        <v>5</v>
      </c>
      <c r="E370" t="n">
        <v>65.73</v>
      </c>
      <c r="O370">
        <f>IF(P370=H370,IF(ISBLANK(G370),"",F370&amp;" - "&amp;G370),IF(P370=K370,IF(ISBLANK(J370),"",I370&amp;" - "&amp;J370),IF(ISBLANK(M370),"",L370&amp;" - "&amp;M370)))</f>
        <v/>
      </c>
      <c r="P370">
        <f>MIN(H370,K370,N370)</f>
        <v/>
      </c>
      <c r="Q370">
        <f>D370*P370</f>
        <v/>
      </c>
      <c r="R370">
        <f>IF(ISBLANK(E370),0,D370*E370)</f>
        <v/>
      </c>
      <c r="S370">
        <f>IF(R370=0,0,(R370-Q370)/R370)</f>
        <v/>
      </c>
      <c r="T370" t="n">
        <v>40</v>
      </c>
      <c r="U370" t="inlineStr">
        <is>
          <t>LAUNCH_INVENTORY</t>
        </is>
      </c>
    </row>
    <row r="371">
      <c r="A371" t="inlineStr">
        <is>
          <t>A4625</t>
        </is>
      </c>
      <c r="B371" t="inlineStr">
        <is>
          <t>PD08</t>
        </is>
      </c>
      <c r="C371" t="inlineStr">
        <is>
          <t>Tracheostomy care kit</t>
        </is>
      </c>
      <c r="D371" t="n">
        <v>10</v>
      </c>
      <c r="E371" t="n">
        <v>9.68</v>
      </c>
      <c r="O371">
        <f>IF(P371=H371,IF(ISBLANK(G371),"",F371&amp;" - "&amp;G371),IF(P371=K371,IF(ISBLANK(J371),"",I371&amp;" - "&amp;J371),IF(ISBLANK(M371),"",L371&amp;" - "&amp;M371)))</f>
        <v/>
      </c>
      <c r="P371">
        <f>MIN(H371,K371,N371)</f>
        <v/>
      </c>
      <c r="Q371">
        <f>D371*P371</f>
        <v/>
      </c>
      <c r="R371">
        <f>IF(ISBLANK(E371),0,D371*E371)</f>
        <v/>
      </c>
      <c r="S371">
        <f>IF(R371=0,0,(R371-Q371)/R371)</f>
        <v/>
      </c>
      <c r="T371" t="n">
        <v>40</v>
      </c>
      <c r="U371" t="inlineStr">
        <is>
          <t>LAUNCH_INVENTORY</t>
        </is>
      </c>
    </row>
    <row r="372">
      <c r="A372" t="inlineStr">
        <is>
          <t>A4626</t>
        </is>
      </c>
      <c r="B372" t="inlineStr">
        <is>
          <t>PD08</t>
        </is>
      </c>
      <c r="C372" t="inlineStr">
        <is>
          <t>Tracheostomy cleaning brush</t>
        </is>
      </c>
      <c r="D372" t="n">
        <v>10</v>
      </c>
      <c r="E372" t="n">
        <v>4.45</v>
      </c>
      <c r="O372">
        <f>IF(P372=H372,IF(ISBLANK(G372),"",F372&amp;" - "&amp;G372),IF(P372=K372,IF(ISBLANK(J372),"",I372&amp;" - "&amp;J372),IF(ISBLANK(M372),"",L372&amp;" - "&amp;M372)))</f>
        <v/>
      </c>
      <c r="P372">
        <f>MIN(H372,K372,N372)</f>
        <v/>
      </c>
      <c r="Q372">
        <f>D372*P372</f>
        <v/>
      </c>
      <c r="R372">
        <f>IF(ISBLANK(E372),0,D372*E372)</f>
        <v/>
      </c>
      <c r="S372">
        <f>IF(R372=0,0,(R372-Q372)/R372)</f>
        <v/>
      </c>
      <c r="T372" t="n">
        <v>40</v>
      </c>
      <c r="U372" t="inlineStr">
        <is>
          <t>LAUNCH_INVENTORY</t>
        </is>
      </c>
    </row>
    <row r="373">
      <c r="A373" t="inlineStr">
        <is>
          <t>B4034</t>
        </is>
      </c>
      <c r="B373" t="inlineStr">
        <is>
          <t>PE04</t>
        </is>
      </c>
      <c r="C373" t="inlineStr">
        <is>
          <t>Enteral feeding bag</t>
        </is>
      </c>
      <c r="D373" t="n">
        <v>15</v>
      </c>
      <c r="E373" t="n">
        <v>3.75</v>
      </c>
      <c r="O373">
        <f>IF(P373=H373,IF(ISBLANK(G373),"",F373&amp;" - "&amp;G373),IF(P373=K373,IF(ISBLANK(J373),"",I373&amp;" - "&amp;J373),IF(ISBLANK(M373),"",L373&amp;" - "&amp;M373)))</f>
        <v/>
      </c>
      <c r="P373">
        <f>MIN(H373,K373,N373)</f>
        <v/>
      </c>
      <c r="Q373">
        <f>D373*P373</f>
        <v/>
      </c>
      <c r="R373">
        <f>IF(ISBLANK(E373),0,D373*E373)</f>
        <v/>
      </c>
      <c r="S373">
        <f>IF(R373=0,0,(R373-Q373)/R373)</f>
        <v/>
      </c>
      <c r="T373" t="n">
        <v>40</v>
      </c>
      <c r="U373" t="inlineStr">
        <is>
          <t>LAUNCH_INVENTORY</t>
        </is>
      </c>
    </row>
    <row r="374">
      <c r="A374" t="inlineStr">
        <is>
          <t>B4035</t>
        </is>
      </c>
      <c r="B374" t="inlineStr">
        <is>
          <t>PE04</t>
        </is>
      </c>
      <c r="C374" t="inlineStr">
        <is>
          <t>Enteral feeding bag - gravity</t>
        </is>
      </c>
      <c r="D374" t="n">
        <v>10</v>
      </c>
      <c r="E374" t="n">
        <v>6.24</v>
      </c>
      <c r="O374">
        <f>IF(P374=H374,IF(ISBLANK(G374),"",F374&amp;" - "&amp;G374),IF(P374=K374,IF(ISBLANK(J374),"",I374&amp;" - "&amp;J374),IF(ISBLANK(M374),"",L374&amp;" - "&amp;M374)))</f>
        <v/>
      </c>
      <c r="P374">
        <f>MIN(H374,K374,N374)</f>
        <v/>
      </c>
      <c r="Q374">
        <f>D374*P374</f>
        <v/>
      </c>
      <c r="R374">
        <f>IF(ISBLANK(E374),0,D374*E374)</f>
        <v/>
      </c>
      <c r="S374">
        <f>IF(R374=0,0,(R374-Q374)/R374)</f>
        <v/>
      </c>
      <c r="T374" t="n">
        <v>40</v>
      </c>
      <c r="U374" t="inlineStr">
        <is>
          <t>LAUNCH_INVENTORY</t>
        </is>
      </c>
    </row>
    <row r="375">
      <c r="A375" t="inlineStr">
        <is>
          <t>B4088</t>
        </is>
      </c>
      <c r="B375" t="inlineStr">
        <is>
          <t>PE04</t>
        </is>
      </c>
      <c r="C375" t="inlineStr">
        <is>
          <t>Enteral extension set</t>
        </is>
      </c>
      <c r="D375" t="n">
        <v>15</v>
      </c>
      <c r="E375" t="n">
        <v>33.73</v>
      </c>
      <c r="O375">
        <f>IF(P375=H375,IF(ISBLANK(G375),"",F375&amp;" - "&amp;G375),IF(P375=K375,IF(ISBLANK(J375),"",I375&amp;" - "&amp;J375),IF(ISBLANK(M375),"",L375&amp;" - "&amp;M375)))</f>
        <v/>
      </c>
      <c r="P375">
        <f>MIN(H375,K375,N375)</f>
        <v/>
      </c>
      <c r="Q375">
        <f>D375*P375</f>
        <v/>
      </c>
      <c r="R375">
        <f>IF(ISBLANK(E375),0,D375*E375)</f>
        <v/>
      </c>
      <c r="S375">
        <f>IF(R375=0,0,(R375-Q375)/R375)</f>
        <v/>
      </c>
      <c r="T375" t="n">
        <v>40</v>
      </c>
      <c r="U375" t="inlineStr">
        <is>
          <t>LAUNCH_INVENTORY</t>
        </is>
      </c>
    </row>
    <row r="376">
      <c r="A376" t="inlineStr">
        <is>
          <t>B4081</t>
        </is>
      </c>
      <c r="B376" t="inlineStr">
        <is>
          <t>PE04</t>
        </is>
      </c>
      <c r="C376" t="inlineStr">
        <is>
          <t>Enteral feeding tube - nasogastric</t>
        </is>
      </c>
      <c r="D376" t="n">
        <v>10</v>
      </c>
      <c r="E376" t="n">
        <v>18.12</v>
      </c>
      <c r="O376">
        <f>IF(P376=H376,IF(ISBLANK(G376),"",F376&amp;" - "&amp;G376),IF(P376=K376,IF(ISBLANK(J376),"",I376&amp;" - "&amp;J376),IF(ISBLANK(M376),"",L376&amp;" - "&amp;M376)))</f>
        <v/>
      </c>
      <c r="P376">
        <f>MIN(H376,K376,N376)</f>
        <v/>
      </c>
      <c r="Q376">
        <f>D376*P376</f>
        <v/>
      </c>
      <c r="R376">
        <f>IF(ISBLANK(E376),0,D376*E376)</f>
        <v/>
      </c>
      <c r="S376">
        <f>IF(R376=0,0,(R376-Q376)/R376)</f>
        <v/>
      </c>
      <c r="T376" t="n">
        <v>40</v>
      </c>
      <c r="U376" t="inlineStr">
        <is>
          <t>LAUNCH_INVENTORY</t>
        </is>
      </c>
    </row>
    <row r="377">
      <c r="A377" t="inlineStr">
        <is>
          <t>A7505</t>
        </is>
      </c>
      <c r="B377" t="inlineStr">
        <is>
          <t>PD08</t>
        </is>
      </c>
      <c r="C377" t="inlineStr">
        <is>
          <t>Trach speaking valve - one way</t>
        </is>
      </c>
      <c r="D377" t="n">
        <v>3</v>
      </c>
      <c r="E377" t="n">
        <v>6.55</v>
      </c>
      <c r="O377">
        <f>IF(P377=H377,IF(ISBLANK(G377),"",F377&amp;" - "&amp;G377),IF(P377=K377,IF(ISBLANK(J377),"",I377&amp;" - "&amp;J377),IF(ISBLANK(M377),"",L377&amp;" - "&amp;M377)))</f>
        <v/>
      </c>
      <c r="P377">
        <f>MIN(H377,K377,N377)</f>
        <v/>
      </c>
      <c r="Q377">
        <f>D377*P377</f>
        <v/>
      </c>
      <c r="R377">
        <f>IF(ISBLANK(E377),0,D377*E377)</f>
        <v/>
      </c>
      <c r="S377">
        <f>IF(R377=0,0,(R377-Q377)/R377)</f>
        <v/>
      </c>
      <c r="T377" t="n">
        <v>40</v>
      </c>
      <c r="U377" t="inlineStr">
        <is>
          <t>LAUNCH_INVENTORY</t>
        </is>
      </c>
    </row>
    <row r="378">
      <c r="A378" t="inlineStr">
        <is>
          <t>A7506</t>
        </is>
      </c>
      <c r="B378" t="inlineStr">
        <is>
          <t>PD08</t>
        </is>
      </c>
      <c r="C378" t="inlineStr">
        <is>
          <t>Trach speaking valve - one way with adapter</t>
        </is>
      </c>
      <c r="D378" t="n">
        <v>2</v>
      </c>
      <c r="E378" t="n">
        <v>0.45</v>
      </c>
      <c r="O378">
        <f>IF(P378=H378,IF(ISBLANK(G378),"",F378&amp;" - "&amp;G378),IF(P378=K378,IF(ISBLANK(J378),"",I378&amp;" - "&amp;J378),IF(ISBLANK(M378),"",L378&amp;" - "&amp;M378)))</f>
        <v/>
      </c>
      <c r="P378">
        <f>MIN(H378,K378,N378)</f>
        <v/>
      </c>
      <c r="Q378">
        <f>D378*P378</f>
        <v/>
      </c>
      <c r="R378">
        <f>IF(ISBLANK(E378),0,D378*E378)</f>
        <v/>
      </c>
      <c r="S378">
        <f>IF(R378=0,0,(R378-Q378)/R378)</f>
        <v/>
      </c>
      <c r="T378" t="n">
        <v>40</v>
      </c>
      <c r="U378" t="inlineStr">
        <is>
          <t>LAUNCH_INVENTORY</t>
        </is>
      </c>
    </row>
    <row r="379">
      <c r="A379" t="inlineStr">
        <is>
          <t>A4481</t>
        </is>
      </c>
      <c r="B379" t="inlineStr">
        <is>
          <t>PD08</t>
        </is>
      </c>
      <c r="C379" t="inlineStr">
        <is>
          <t>Tracheostomy filter</t>
        </is>
      </c>
      <c r="D379" t="n">
        <v>15</v>
      </c>
      <c r="E379" t="n">
        <v>0.5</v>
      </c>
      <c r="O379">
        <f>IF(P379=H379,IF(ISBLANK(G379),"",F379&amp;" - "&amp;G379),IF(P379=K379,IF(ISBLANK(J379),"",I379&amp;" - "&amp;J379),IF(ISBLANK(M379),"",L379&amp;" - "&amp;M379)))</f>
        <v/>
      </c>
      <c r="P379">
        <f>MIN(H379,K379,N379)</f>
        <v/>
      </c>
      <c r="Q379">
        <f>D379*P379</f>
        <v/>
      </c>
      <c r="R379">
        <f>IF(ISBLANK(E379),0,D379*E379)</f>
        <v/>
      </c>
      <c r="S379">
        <f>IF(R379=0,0,(R379-Q379)/R379)</f>
        <v/>
      </c>
      <c r="T379" t="n">
        <v>40</v>
      </c>
      <c r="U379" t="inlineStr">
        <is>
          <t>LAUNCH_INVENTORY</t>
        </is>
      </c>
    </row>
    <row r="380">
      <c r="A380" t="inlineStr">
        <is>
          <t>A4483</t>
        </is>
      </c>
      <c r="B380" t="inlineStr">
        <is>
          <t>PD08</t>
        </is>
      </c>
      <c r="C380" t="inlineStr">
        <is>
          <t>Tracheostomy moisture exchanger</t>
        </is>
      </c>
      <c r="D380" t="n">
        <v>15</v>
      </c>
      <c r="O380">
        <f>IF(P380=H380,IF(ISBLANK(G380),"",F380&amp;" - "&amp;G380),IF(P380=K380,IF(ISBLANK(J380),"",I380&amp;" - "&amp;J380),IF(ISBLANK(M380),"",L380&amp;" - "&amp;M380)))</f>
        <v/>
      </c>
      <c r="P380">
        <f>MIN(H380,K380,N380)</f>
        <v/>
      </c>
      <c r="Q380">
        <f>D380*P380</f>
        <v/>
      </c>
      <c r="R380">
        <f>IF(ISBLANK(E380),0,D380*E380)</f>
        <v/>
      </c>
      <c r="S380">
        <f>IF(R380=0,0,(R380-Q380)/R380)</f>
        <v/>
      </c>
      <c r="T380" t="n">
        <v>40</v>
      </c>
      <c r="U380" t="inlineStr">
        <is>
          <t>LAUNCH_INVENTORY</t>
        </is>
      </c>
    </row>
    <row r="381">
      <c r="A381" t="inlineStr">
        <is>
          <t>E1229</t>
        </is>
      </c>
      <c r="B381" t="inlineStr">
        <is>
          <t>M06</t>
        </is>
      </c>
      <c r="C381" t="inlineStr">
        <is>
          <t>WHEELCHAIR, PEDIATRIC SIZE, NOT OTHERWISE SPECIFIED</t>
        </is>
      </c>
      <c r="D381" t="n">
        <v>1</v>
      </c>
      <c r="O381">
        <f>IF(P381=H381,IF(ISBLANK(G381),"",F381&amp;" - "&amp;G381),IF(P381=K381,IF(ISBLANK(J381),"",I381&amp;" - "&amp;J381),IF(ISBLANK(M381),"",L381&amp;" - "&amp;M381)))</f>
        <v/>
      </c>
      <c r="P381">
        <f>MIN(H381,K381,N381)</f>
        <v/>
      </c>
      <c r="Q381">
        <f>D381*P381</f>
        <v/>
      </c>
      <c r="R381">
        <f>IF(ISBLANK(E381),0,D381*E381)</f>
        <v/>
      </c>
      <c r="S381">
        <f>IF(R381=0,0,(R381-Q381)/R381)</f>
        <v/>
      </c>
      <c r="T381" t="n">
        <v>30</v>
      </c>
      <c r="U381" t="inlineStr">
        <is>
          <t>LAUNCH_INVENTORY</t>
        </is>
      </c>
    </row>
    <row r="382">
      <c r="A382" t="inlineStr">
        <is>
          <t>A9900</t>
        </is>
      </c>
      <c r="B382" t="inlineStr">
        <is>
          <t>M05</t>
        </is>
      </c>
      <c r="C382" t="inlineStr">
        <is>
          <t>MISCELLANEOUS DME SUPPLY, ACCESSORY, AND/OR SERVICE COMPONENT OF ANOTHER HCPCS CODE</t>
        </is>
      </c>
      <c r="D382" t="n">
        <v>1</v>
      </c>
      <c r="O382">
        <f>IF(P382=H382,IF(ISBLANK(G382),"",F382&amp;" - "&amp;G382),IF(P382=K382,IF(ISBLANK(J382),"",I382&amp;" - "&amp;J382),IF(ISBLANK(M382),"",L382&amp;" - "&amp;M382)))</f>
        <v/>
      </c>
      <c r="P382">
        <f>MIN(H382,K382,N382)</f>
        <v/>
      </c>
      <c r="Q382">
        <f>D382*P382</f>
        <v/>
      </c>
      <c r="R382">
        <f>IF(ISBLANK(E382),0,D382*E382)</f>
        <v/>
      </c>
      <c r="S382">
        <f>IF(R382=0,0,(R382-Q382)/R382)</f>
        <v/>
      </c>
      <c r="T382" t="n">
        <v>30</v>
      </c>
      <c r="U382" t="inlineStr">
        <is>
          <t>LAUNCH_INVENTORY</t>
        </is>
      </c>
    </row>
    <row r="383">
      <c r="A383" t="inlineStr">
        <is>
          <t>K0008</t>
        </is>
      </c>
      <c r="B383" t="inlineStr">
        <is>
          <t>M06</t>
        </is>
      </c>
      <c r="C383" t="inlineStr">
        <is>
          <t>CUSTOM MANUAL WHEELCHAIR/BASE</t>
        </is>
      </c>
      <c r="D383" t="n">
        <v>1</v>
      </c>
      <c r="O383">
        <f>IF(P383=H383,IF(ISBLANK(G383),"",F383&amp;" - "&amp;G383),IF(P383=K383,IF(ISBLANK(J383),"",I383&amp;" - "&amp;J383),IF(ISBLANK(M383),"",L383&amp;" - "&amp;M383)))</f>
        <v/>
      </c>
      <c r="P383">
        <f>MIN(H383,K383,N383)</f>
        <v/>
      </c>
      <c r="Q383">
        <f>D383*P383</f>
        <v/>
      </c>
      <c r="R383">
        <f>IF(ISBLANK(E383),0,D383*E383)</f>
        <v/>
      </c>
      <c r="S383">
        <f>IF(R383=0,0,(R383-Q383)/R383)</f>
        <v/>
      </c>
      <c r="T383" t="n">
        <v>30</v>
      </c>
      <c r="U383" t="inlineStr">
        <is>
          <t>LAUNCH_INVENTORY</t>
        </is>
      </c>
    </row>
    <row r="384">
      <c r="A384" t="inlineStr">
        <is>
          <t>E0118</t>
        </is>
      </c>
      <c r="B384" t="inlineStr">
        <is>
          <t>M01</t>
        </is>
      </c>
      <c r="C384" t="inlineStr">
        <is>
          <t>CRUTCH SUBSTITUTE, LOWER LEG PLATFORM, WITH OR WITHOUT WHEELS, EACH</t>
        </is>
      </c>
      <c r="D384" t="n">
        <v>1</v>
      </c>
      <c r="O384">
        <f>IF(P384=H384,IF(ISBLANK(G384),"",F384&amp;" - "&amp;G384),IF(P384=K384,IF(ISBLANK(J384),"",I384&amp;" - "&amp;J384),IF(ISBLANK(M384),"",L384&amp;" - "&amp;M384)))</f>
        <v/>
      </c>
      <c r="P384">
        <f>MIN(H384,K384,N384)</f>
        <v/>
      </c>
      <c r="Q384">
        <f>D384*P384</f>
        <v/>
      </c>
      <c r="R384">
        <f>IF(ISBLANK(E384),0,D384*E384)</f>
        <v/>
      </c>
      <c r="S384">
        <f>IF(R384=0,0,(R384-Q384)/R384)</f>
        <v/>
      </c>
      <c r="T384" t="n">
        <v>30</v>
      </c>
      <c r="U384" t="inlineStr">
        <is>
          <t>LAUNCH_INVENTORY</t>
        </is>
      </c>
    </row>
  </sheetData>
  <conditionalFormatting sqref="P2:P384">
    <cfRule type="cellIs" priority="4" operator="greaterThan" dxfId="0" stopIfTrue="1">
      <formula>0.3</formula>
    </cfRule>
    <cfRule type="cellIs" priority="5" operator="between" dxfId="1" stopIfTrue="1">
      <formula>0.1</formula>
      <formula>0.3</formula>
    </cfRule>
    <cfRule type="cellIs" priority="6" operator="lessThan" dxfId="2" stopIfTrue="1">
      <formula>0.1</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4" t="inlineStr">
        <is>
          <t>BOC Category</t>
        </is>
      </c>
      <c r="B1" s="4" t="inlineStr">
        <is>
          <t>SKU Count</t>
        </is>
      </c>
      <c r="C1" s="4" t="inlineStr">
        <is>
          <t>Investment</t>
        </is>
      </c>
      <c r="D1" s="4" t="inlineStr">
        <is>
          <t>Revenue Potential</t>
        </is>
      </c>
      <c r="E1" s="4" t="inlineStr">
        <is>
          <t>Profit Potential</t>
        </is>
      </c>
      <c r="F1" s="4" t="inlineStr">
        <is>
          <t>ROI %</t>
        </is>
      </c>
      <c r="G1" s="4" t="inlineStr">
        <is>
          <t>Avg Margin %</t>
        </is>
      </c>
    </row>
    <row r="2">
      <c r="A2" t="inlineStr">
        <is>
          <t>S04</t>
        </is>
      </c>
      <c r="B2" t="n">
        <v>71</v>
      </c>
      <c r="C2" s="2" t="n">
        <v>33184.93542857143</v>
      </c>
      <c r="D2" s="2" t="n">
        <v>54786.45</v>
      </c>
      <c r="E2" s="2" t="n">
        <v>21914.58</v>
      </c>
      <c r="F2" s="3" t="n">
        <v>66.03773584905662</v>
      </c>
      <c r="G2" s="3" t="n">
        <v>40.00000000000001</v>
      </c>
    </row>
    <row r="3">
      <c r="A3" t="inlineStr">
        <is>
          <t>DM06</t>
        </is>
      </c>
      <c r="B3" t="n">
        <v>7</v>
      </c>
      <c r="C3" s="2" t="n">
        <v>9050</v>
      </c>
      <c r="D3" s="2" t="n">
        <v>24871.2</v>
      </c>
      <c r="E3" s="2" t="n">
        <v>15821.2</v>
      </c>
      <c r="F3" s="3" t="n">
        <v>174.8198895027624</v>
      </c>
      <c r="G3" s="3" t="n">
        <v>63.61253176364631</v>
      </c>
    </row>
    <row r="4">
      <c r="A4" t="inlineStr">
        <is>
          <t>DM08</t>
        </is>
      </c>
      <c r="B4" t="n">
        <v>6</v>
      </c>
      <c r="C4" s="2" t="n">
        <v>2210</v>
      </c>
      <c r="D4" s="2" t="n">
        <v>14750.85</v>
      </c>
      <c r="E4" s="2" t="n">
        <v>13325.85</v>
      </c>
      <c r="F4" s="3" t="n">
        <v>602.9796380090498</v>
      </c>
      <c r="G4" s="3" t="n">
        <v>90.33953975533613</v>
      </c>
    </row>
    <row r="5">
      <c r="A5" t="inlineStr">
        <is>
          <t>DM18</t>
        </is>
      </c>
      <c r="B5" t="n">
        <v>4</v>
      </c>
      <c r="C5" s="2" t="n">
        <v>2160</v>
      </c>
      <c r="D5" s="2" t="n">
        <v>12113.87</v>
      </c>
      <c r="E5" s="2" t="n">
        <v>9953.870000000001</v>
      </c>
      <c r="F5" s="3" t="n">
        <v>460.8273148148148</v>
      </c>
      <c r="G5" s="3" t="n">
        <v>82.16919943832978</v>
      </c>
    </row>
    <row r="6">
      <c r="A6" t="inlineStr">
        <is>
          <t>DM17</t>
        </is>
      </c>
      <c r="B6" t="n">
        <v>2</v>
      </c>
      <c r="C6" s="2" t="n">
        <v>1000</v>
      </c>
      <c r="D6" s="2" t="n">
        <v>9954.650000000001</v>
      </c>
      <c r="E6" s="2" t="n">
        <v>8954.65</v>
      </c>
      <c r="F6" s="3" t="n">
        <v>895.4649999999999</v>
      </c>
      <c r="G6" s="3" t="n">
        <v>89.95444340082271</v>
      </c>
    </row>
    <row r="7">
      <c r="A7" t="inlineStr">
        <is>
          <t>M06A</t>
        </is>
      </c>
      <c r="B7" t="n">
        <v>74</v>
      </c>
      <c r="C7" s="2" t="n">
        <v>8208.914571428571</v>
      </c>
      <c r="D7" s="2" t="n">
        <v>13179.45</v>
      </c>
      <c r="E7" s="2" t="n">
        <v>5271.780000000001</v>
      </c>
      <c r="F7" s="3" t="n">
        <v>64.22018348623854</v>
      </c>
      <c r="G7" s="3" t="n">
        <v>40</v>
      </c>
    </row>
    <row r="8">
      <c r="A8" t="inlineStr">
        <is>
          <t>DM29</t>
        </is>
      </c>
      <c r="B8" t="n">
        <v>3</v>
      </c>
      <c r="C8" s="2" t="n">
        <v>1460</v>
      </c>
      <c r="D8" s="2" t="n">
        <v>5207.8</v>
      </c>
      <c r="E8" s="2" t="n">
        <v>4797.8</v>
      </c>
      <c r="F8" s="3" t="n">
        <v>328.6164383561644</v>
      </c>
      <c r="G8" s="3" t="n">
        <v>92.12719382464765</v>
      </c>
    </row>
    <row r="9">
      <c r="A9" t="inlineStr">
        <is>
          <t>OR03</t>
        </is>
      </c>
      <c r="B9" t="n">
        <v>16</v>
      </c>
      <c r="C9" s="2" t="n">
        <v>4490</v>
      </c>
      <c r="D9" s="2" t="n">
        <v>7846.49</v>
      </c>
      <c r="E9" s="2" t="n">
        <v>3916.49</v>
      </c>
      <c r="F9" s="3" t="n">
        <v>87.22694877505567</v>
      </c>
      <c r="G9" s="3" t="n">
        <v>49.91391055108717</v>
      </c>
    </row>
    <row r="10">
      <c r="A10" t="inlineStr">
        <is>
          <t>S01</t>
        </is>
      </c>
      <c r="B10" t="n">
        <v>92</v>
      </c>
      <c r="C10" s="2" t="n">
        <v>3908.010337078651</v>
      </c>
      <c r="D10" s="2" t="n">
        <v>6370.2</v>
      </c>
      <c r="E10" s="2" t="n">
        <v>2548.08</v>
      </c>
      <c r="F10" s="3" t="n">
        <v>65.2014652014652</v>
      </c>
      <c r="G10" s="3" t="n">
        <v>40</v>
      </c>
    </row>
    <row r="11">
      <c r="A11" t="inlineStr">
        <is>
          <t>M01</t>
        </is>
      </c>
      <c r="B11" t="n">
        <v>14</v>
      </c>
      <c r="C11" s="2" t="n">
        <v>735.1684615384615</v>
      </c>
      <c r="D11" s="2" t="n">
        <v>1179.9</v>
      </c>
      <c r="E11" s="2" t="n">
        <v>471.96</v>
      </c>
      <c r="F11" s="3" t="n">
        <v>64.19753086419753</v>
      </c>
      <c r="G11" s="3" t="n">
        <v>40</v>
      </c>
    </row>
    <row r="12">
      <c r="A12" t="inlineStr">
        <is>
          <t>M05</t>
        </is>
      </c>
      <c r="B12" t="n">
        <v>17</v>
      </c>
      <c r="C12" s="2" t="n">
        <v>2297.611625</v>
      </c>
      <c r="D12" s="2" t="n">
        <v>2360.18</v>
      </c>
      <c r="E12" s="2" t="n">
        <v>102.792</v>
      </c>
      <c r="F12" s="3" t="n">
        <v>4.473863157791085</v>
      </c>
      <c r="G12" s="3" t="n">
        <v>4.35526103941225</v>
      </c>
    </row>
    <row r="13">
      <c r="A13" t="inlineStr">
        <is>
          <t>PD09</t>
        </is>
      </c>
      <c r="B13" t="n">
        <v>6</v>
      </c>
      <c r="C13" s="2" t="n">
        <v>3757.524</v>
      </c>
      <c r="D13" s="2" t="n">
        <v>12.54</v>
      </c>
      <c r="E13" s="2" t="n">
        <v>5.016</v>
      </c>
      <c r="F13" s="3" t="n">
        <v>0.1334921613275125</v>
      </c>
      <c r="G13" s="3" t="n">
        <v>40</v>
      </c>
    </row>
    <row r="14">
      <c r="A14" t="inlineStr">
        <is>
          <t>DM05</t>
        </is>
      </c>
      <c r="B14" t="n">
        <v>1</v>
      </c>
      <c r="C14" s="2" t="n">
        <v>0.612</v>
      </c>
      <c r="D14" s="2" t="n">
        <v>1.02</v>
      </c>
      <c r="E14" s="2" t="n">
        <v>0.408</v>
      </c>
      <c r="F14" s="3" t="n">
        <v>66.66666666666666</v>
      </c>
      <c r="G14" s="3" t="n">
        <v>40</v>
      </c>
    </row>
    <row r="15">
      <c r="A15" t="inlineStr">
        <is>
          <t>DM11</t>
        </is>
      </c>
      <c r="B15" t="n">
        <v>2</v>
      </c>
      <c r="C15" s="2" t="n">
        <v>775</v>
      </c>
      <c r="D15" s="2" t="n">
        <v>0</v>
      </c>
      <c r="E15" s="2" t="n">
        <v>0</v>
      </c>
      <c r="F15" s="3" t="n">
        <v>0</v>
      </c>
      <c r="G15" s="3" t="n"/>
    </row>
    <row r="16">
      <c r="A16" t="inlineStr">
        <is>
          <t>DM12</t>
        </is>
      </c>
      <c r="B16" t="n">
        <v>4</v>
      </c>
      <c r="C16" s="2" t="n">
        <v>1950</v>
      </c>
      <c r="D16" s="2" t="n">
        <v>0</v>
      </c>
      <c r="E16" s="2" t="n">
        <v>0</v>
      </c>
      <c r="F16" s="3" t="n">
        <v>0</v>
      </c>
      <c r="G16" s="3" t="n"/>
    </row>
    <row r="17">
      <c r="A17" t="inlineStr">
        <is>
          <t>DM21</t>
        </is>
      </c>
      <c r="B17" t="n">
        <v>3</v>
      </c>
      <c r="C17" s="2" t="n">
        <v>745</v>
      </c>
      <c r="D17" s="2" t="n">
        <v>168.22</v>
      </c>
      <c r="E17" s="2" t="n">
        <v>-81.78</v>
      </c>
      <c r="F17" s="3" t="n">
        <v>-10.97718120805369</v>
      </c>
      <c r="G17" s="3" t="n">
        <v>-48.61490904767567</v>
      </c>
    </row>
    <row r="18">
      <c r="A18" t="inlineStr">
        <is>
          <t>DM20</t>
        </is>
      </c>
      <c r="B18" t="n">
        <v>6</v>
      </c>
      <c r="C18" s="2" t="n">
        <v>3285</v>
      </c>
      <c r="D18" s="2" t="n">
        <v>134.88</v>
      </c>
      <c r="E18" s="2" t="n">
        <v>-205.12</v>
      </c>
      <c r="F18" s="3" t="n">
        <v>-6.2441400304414</v>
      </c>
      <c r="G18" s="3" t="n">
        <v>-152.0759193357058</v>
      </c>
    </row>
    <row r="19">
      <c r="A19" t="inlineStr">
        <is>
          <t>DM16</t>
        </is>
      </c>
      <c r="B19" t="n">
        <v>3</v>
      </c>
      <c r="C19" s="2" t="n">
        <v>1200</v>
      </c>
      <c r="D19" s="2" t="n">
        <v>171.26</v>
      </c>
      <c r="E19" s="2" t="n">
        <v>-228.74</v>
      </c>
      <c r="F19" s="3" t="n">
        <v>-19.06166666666667</v>
      </c>
      <c r="G19" s="3" t="n">
        <v>-133.5630036202266</v>
      </c>
    </row>
    <row r="20">
      <c r="A20" t="inlineStr">
        <is>
          <t>PE04</t>
        </is>
      </c>
      <c r="B20" t="n">
        <v>5</v>
      </c>
      <c r="C20" s="2" t="n">
        <v>1210</v>
      </c>
      <c r="D20" s="2" t="n">
        <v>935.7199999999999</v>
      </c>
      <c r="E20" s="2" t="n">
        <v>-274.2800000000001</v>
      </c>
      <c r="F20" s="3" t="n">
        <v>-22.66776859504133</v>
      </c>
      <c r="G20" s="3" t="n">
        <v>-29.31218740648914</v>
      </c>
    </row>
    <row r="21">
      <c r="A21" t="inlineStr">
        <is>
          <t>PD08</t>
        </is>
      </c>
      <c r="B21" t="n">
        <v>8</v>
      </c>
      <c r="C21" s="2" t="n">
        <v>1300</v>
      </c>
      <c r="D21" s="2" t="n">
        <v>829.65</v>
      </c>
      <c r="E21" s="2" t="n">
        <v>-290.35</v>
      </c>
      <c r="F21" s="3" t="n">
        <v>-22.33461538461538</v>
      </c>
      <c r="G21" s="3" t="n">
        <v>-34.99668534924366</v>
      </c>
    </row>
    <row r="22">
      <c r="A22" t="inlineStr">
        <is>
          <t>M06</t>
        </is>
      </c>
      <c r="B22" t="n">
        <v>13</v>
      </c>
      <c r="C22" s="2" t="n">
        <v>1557.132363636364</v>
      </c>
      <c r="D22" s="2" t="n">
        <v>1199.08</v>
      </c>
      <c r="E22" s="2" t="n">
        <v>-292.648</v>
      </c>
      <c r="F22" s="3" t="n">
        <v>-18.79403490892582</v>
      </c>
      <c r="G22" s="3" t="n">
        <v>-24.40604463421957</v>
      </c>
    </row>
    <row r="23">
      <c r="A23" t="inlineStr">
        <is>
          <t>DM25</t>
        </is>
      </c>
      <c r="B23" t="n">
        <v>3</v>
      </c>
      <c r="C23" s="2" t="n">
        <v>1125</v>
      </c>
      <c r="D23" s="2" t="n">
        <v>748.05</v>
      </c>
      <c r="E23" s="2" t="n">
        <v>-376.95</v>
      </c>
      <c r="F23" s="3" t="n">
        <v>-33.50666666666667</v>
      </c>
      <c r="G23" s="3" t="n">
        <v>-50.39101664327251</v>
      </c>
    </row>
    <row r="24">
      <c r="A24" t="inlineStr">
        <is>
          <t>DM15</t>
        </is>
      </c>
      <c r="B24" t="n">
        <v>3</v>
      </c>
      <c r="C24" s="2" t="n">
        <v>1650</v>
      </c>
      <c r="D24" s="2" t="n">
        <v>395.5</v>
      </c>
      <c r="E24" s="2" t="n">
        <v>-404.5</v>
      </c>
      <c r="F24" s="3" t="n">
        <v>-24.51515151515152</v>
      </c>
      <c r="G24" s="3" t="n">
        <v>-102.275600505689</v>
      </c>
    </row>
    <row r="25">
      <c r="A25" t="inlineStr">
        <is>
          <t>DM02</t>
        </is>
      </c>
      <c r="B25" t="n">
        <v>7</v>
      </c>
      <c r="C25" s="2" t="n">
        <v>2135</v>
      </c>
      <c r="D25" s="2" t="n">
        <v>889.67</v>
      </c>
      <c r="E25" s="2" t="n">
        <v>-545.3299999999999</v>
      </c>
      <c r="F25" s="3" t="n">
        <v>-25.5423887587822</v>
      </c>
      <c r="G25" s="3" t="n">
        <v>-61.29576134971393</v>
      </c>
    </row>
    <row r="26">
      <c r="A26" t="inlineStr">
        <is>
          <t>DM22</t>
        </is>
      </c>
      <c r="B26" t="n">
        <v>4</v>
      </c>
      <c r="C26" s="2" t="n">
        <v>2260</v>
      </c>
      <c r="D26" s="2" t="n">
        <v>661.58</v>
      </c>
      <c r="E26" s="2" t="n">
        <v>-778.4200000000001</v>
      </c>
      <c r="F26" s="3" t="n">
        <v>-34.44336283185841</v>
      </c>
      <c r="G26" s="3" t="n">
        <v>-117.660751534206</v>
      </c>
    </row>
    <row r="27">
      <c r="A27" t="inlineStr">
        <is>
          <t>R07</t>
        </is>
      </c>
      <c r="B27" t="n">
        <v>6</v>
      </c>
      <c r="C27" s="2" t="n">
        <v>1555</v>
      </c>
      <c r="D27" s="2" t="n">
        <v>323.33</v>
      </c>
      <c r="E27" s="2" t="n">
        <v>-976.67</v>
      </c>
      <c r="F27" s="3" t="n">
        <v>-62.80836012861736</v>
      </c>
      <c r="G27" s="3" t="n">
        <v>-302.0660006804193</v>
      </c>
    </row>
    <row r="28">
      <c r="A28" t="inlineStr">
        <is>
          <t>PE03</t>
        </is>
      </c>
      <c r="B28" t="n">
        <v>3</v>
      </c>
      <c r="C28" s="2" t="n">
        <v>1775</v>
      </c>
      <c r="D28" s="2" t="n">
        <v>18.4</v>
      </c>
      <c r="E28" s="2" t="n">
        <v>-1181.6</v>
      </c>
      <c r="F28" s="3" t="n">
        <v>-66.56901408450705</v>
      </c>
      <c r="G28" s="3" t="n">
        <v>-6421.739130434783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10" customWidth="1" min="4" max="4"/>
    <col width="12" customWidth="1" min="5" max="5"/>
    <col width="12" customWidth="1" min="6" max="6"/>
    <col width="50" customWidth="1" min="7" max="7"/>
  </cols>
  <sheetData>
    <row r="1">
      <c r="A1" s="4" t="inlineStr">
        <is>
          <t>HCPCS Code</t>
        </is>
      </c>
      <c r="B1" s="4" t="inlineStr">
        <is>
          <t>BOC Category</t>
        </is>
      </c>
      <c r="C1" s="4" t="inlineStr">
        <is>
          <t>Description</t>
        </is>
      </c>
      <c r="D1" s="4" t="inlineStr">
        <is>
          <t>Quantity</t>
        </is>
      </c>
      <c r="E1" s="4" t="inlineStr">
        <is>
          <t>Est Cost</t>
        </is>
      </c>
      <c r="F1" s="4" t="inlineStr">
        <is>
          <t>Total Cost</t>
        </is>
      </c>
      <c r="G1" s="4" t="inlineStr">
        <is>
          <t>Notes</t>
        </is>
      </c>
    </row>
    <row r="2">
      <c r="A2" t="inlineStr">
        <is>
          <t>A4554</t>
        </is>
      </c>
      <c r="B2" t="inlineStr">
        <is>
          <t>PD09</t>
        </is>
      </c>
      <c r="C2" t="inlineStr">
        <is>
          <t>DISPOSABLE UNDERPADS, ALL SIZES</t>
        </is>
      </c>
      <c r="D2" t="n">
        <v>2000</v>
      </c>
      <c r="E2" s="2" t="n">
        <v>0.125</v>
      </c>
      <c r="F2" s="2" t="n">
        <v>250</v>
      </c>
      <c r="G2" t="inlineStr">
        <is>
          <t>High-volume consumable - may have alternative coverage</t>
        </is>
      </c>
    </row>
    <row r="3">
      <c r="A3" t="inlineStr">
        <is>
          <t>A4520</t>
        </is>
      </c>
      <c r="B3" t="inlineStr">
        <is>
          <t>PD09</t>
        </is>
      </c>
      <c r="C3" t="inlineStr">
        <is>
          <t>INCONTINENCE GARMENT, ANY TYPE, (E.G., BRIEF, DIAPER), EACH</t>
        </is>
      </c>
      <c r="D3" t="n">
        <v>3000</v>
      </c>
      <c r="E3" s="2" t="n">
        <v>1.166666666666667</v>
      </c>
      <c r="F3" s="2" t="n">
        <v>3500</v>
      </c>
      <c r="G3" t="inlineStr">
        <is>
          <t>High-volume consumable - may have alternative coverage</t>
        </is>
      </c>
    </row>
    <row r="4">
      <c r="A4" t="inlineStr">
        <is>
          <t>L1820</t>
        </is>
      </c>
      <c r="B4" t="inlineStr">
        <is>
          <t>OR03</t>
        </is>
      </c>
      <c r="C4" t="inlineStr">
        <is>
          <t>Knee orthosis - soft interface</t>
        </is>
      </c>
      <c r="D4" t="n">
        <v>4</v>
      </c>
      <c r="E4" s="2" t="n">
        <v>65</v>
      </c>
      <c r="F4" s="2" t="n">
        <v>260</v>
      </c>
      <c r="G4" t="inlineStr">
        <is>
          <t>Private pay item - no Medicare coverage</t>
        </is>
      </c>
    </row>
    <row r="5">
      <c r="A5" t="inlineStr">
        <is>
          <t>L1810</t>
        </is>
      </c>
      <c r="B5" t="inlineStr">
        <is>
          <t>OR03</t>
        </is>
      </c>
      <c r="C5" t="inlineStr">
        <is>
          <t>Knee orthosis - elastic support</t>
        </is>
      </c>
      <c r="D5" t="n">
        <v>4</v>
      </c>
      <c r="E5" s="2" t="n">
        <v>45</v>
      </c>
      <c r="F5" s="2" t="n">
        <v>180</v>
      </c>
      <c r="G5" t="inlineStr">
        <is>
          <t>Private pay item - no Medicare coverage</t>
        </is>
      </c>
    </row>
    <row r="6">
      <c r="A6" t="inlineStr">
        <is>
          <t>E0198</t>
        </is>
      </c>
      <c r="B6" t="inlineStr">
        <is>
          <t>DM20</t>
        </is>
      </c>
      <c r="C6" t="inlineStr">
        <is>
          <t>Water pressure pad - standard mattress</t>
        </is>
      </c>
      <c r="D6" t="n">
        <v>4</v>
      </c>
      <c r="E6" s="2" t="n">
        <v>110</v>
      </c>
      <c r="F6" s="2" t="n">
        <v>440</v>
      </c>
      <c r="G6" t="inlineStr">
        <is>
          <t>Private pay item - no Medicare coverage</t>
        </is>
      </c>
    </row>
    <row r="7">
      <c r="A7" t="inlineStr">
        <is>
          <t>E0277</t>
        </is>
      </c>
      <c r="B7" t="inlineStr">
        <is>
          <t>DM20</t>
        </is>
      </c>
      <c r="C7" t="inlineStr">
        <is>
          <t>Low air loss mattress</t>
        </is>
      </c>
      <c r="D7" t="n">
        <v>1</v>
      </c>
      <c r="E7" s="2" t="n">
        <v>850</v>
      </c>
      <c r="F7" s="2" t="n">
        <v>850</v>
      </c>
      <c r="G7" t="inlineStr">
        <is>
          <t>Private pay item - no Medicare coverage</t>
        </is>
      </c>
    </row>
    <row r="8">
      <c r="A8" t="inlineStr">
        <is>
          <t>E0197</t>
        </is>
      </c>
      <c r="B8" t="inlineStr">
        <is>
          <t>DM20</t>
        </is>
      </c>
      <c r="C8" t="inlineStr">
        <is>
          <t>Air pressure pad - standard mattress</t>
        </is>
      </c>
      <c r="D8" t="n">
        <v>4</v>
      </c>
      <c r="E8" s="2" t="n">
        <v>95</v>
      </c>
      <c r="F8" s="2" t="n">
        <v>380</v>
      </c>
      <c r="G8" t="inlineStr">
        <is>
          <t>Private pay item - no Medicare coverage</t>
        </is>
      </c>
    </row>
    <row r="9">
      <c r="A9" t="inlineStr">
        <is>
          <t>E0186</t>
        </is>
      </c>
      <c r="B9" t="inlineStr">
        <is>
          <t>DM20</t>
        </is>
      </c>
      <c r="C9" t="inlineStr">
        <is>
          <t>Air pressure mattress</t>
        </is>
      </c>
      <c r="D9" t="n">
        <v>2</v>
      </c>
      <c r="E9" s="2" t="n">
        <v>450</v>
      </c>
      <c r="F9" s="2" t="n">
        <v>900</v>
      </c>
      <c r="G9" t="inlineStr">
        <is>
          <t>Private pay item - no Medicare coverage</t>
        </is>
      </c>
    </row>
    <row r="10">
      <c r="A10" t="inlineStr">
        <is>
          <t>E0196</t>
        </is>
      </c>
      <c r="B10" t="inlineStr">
        <is>
          <t>DM20</t>
        </is>
      </c>
      <c r="C10" t="inlineStr">
        <is>
          <t>Gel pressure pad - standard mattress</t>
        </is>
      </c>
      <c r="D10" t="n">
        <v>3</v>
      </c>
      <c r="E10" s="2" t="n">
        <v>125</v>
      </c>
      <c r="F10" s="2" t="n">
        <v>375</v>
      </c>
      <c r="G10" t="inlineStr">
        <is>
          <t>Private pay item - no Medicare coverage</t>
        </is>
      </c>
    </row>
    <row r="11">
      <c r="A11" t="inlineStr">
        <is>
          <t>E0221</t>
        </is>
      </c>
      <c r="B11" t="inlineStr">
        <is>
          <t>DM11</t>
        </is>
      </c>
      <c r="C11" t="inlineStr">
        <is>
          <t>Infrared heating pad system</t>
        </is>
      </c>
      <c r="D11" t="n">
        <v>3</v>
      </c>
      <c r="E11" s="2" t="n">
        <v>175</v>
      </c>
      <c r="F11" s="2" t="n">
        <v>525</v>
      </c>
      <c r="G11" t="inlineStr">
        <is>
          <t>Private pay item - no Medicare coverage</t>
        </is>
      </c>
    </row>
    <row r="12">
      <c r="A12" t="inlineStr">
        <is>
          <t>A4639</t>
        </is>
      </c>
      <c r="B12" t="inlineStr">
        <is>
          <t>DM11</t>
        </is>
      </c>
      <c r="C12" t="inlineStr">
        <is>
          <t>Infrared pad replacement</t>
        </is>
      </c>
      <c r="D12" t="n">
        <v>10</v>
      </c>
      <c r="E12" s="2" t="n">
        <v>25</v>
      </c>
      <c r="F12" s="2" t="n">
        <v>250</v>
      </c>
      <c r="G12" t="inlineStr">
        <is>
          <t>Private pay item - no Medicare coverage</t>
        </is>
      </c>
    </row>
    <row r="13">
      <c r="A13" t="inlineStr">
        <is>
          <t>E0236</t>
        </is>
      </c>
      <c r="B13" t="inlineStr">
        <is>
          <t>DM08</t>
        </is>
      </c>
      <c r="C13" t="inlineStr">
        <is>
          <t>Pump for water circulating pad</t>
        </is>
      </c>
      <c r="D13" t="n">
        <v>10</v>
      </c>
      <c r="E13" s="2" t="n">
        <v>45</v>
      </c>
      <c r="F13" s="2" t="n">
        <v>450</v>
      </c>
      <c r="G13" t="inlineStr">
        <is>
          <t>Private pay item - no Medicare coverage</t>
        </is>
      </c>
    </row>
    <row r="14">
      <c r="A14" t="inlineStr">
        <is>
          <t>E0230</t>
        </is>
      </c>
      <c r="B14" t="inlineStr">
        <is>
          <t>DM08</t>
        </is>
      </c>
      <c r="C14" t="inlineStr">
        <is>
          <t>Ice cap or collar</t>
        </is>
      </c>
      <c r="D14" t="n">
        <v>10</v>
      </c>
      <c r="E14" s="2" t="n">
        <v>15</v>
      </c>
      <c r="F14" s="2" t="n">
        <v>150</v>
      </c>
      <c r="G14" t="inlineStr">
        <is>
          <t>Private pay item - no Medicare coverage</t>
        </is>
      </c>
    </row>
    <row r="15">
      <c r="A15" t="inlineStr">
        <is>
          <t>E0235</t>
        </is>
      </c>
      <c r="B15" t="inlineStr">
        <is>
          <t>DM08</t>
        </is>
      </c>
      <c r="C15" t="inlineStr">
        <is>
          <t>Paraffin bath unit</t>
        </is>
      </c>
      <c r="D15" t="n">
        <v>1</v>
      </c>
      <c r="E15" s="2" t="n">
        <v>185</v>
      </c>
      <c r="F15" s="2" t="n">
        <v>185</v>
      </c>
      <c r="G15" t="inlineStr">
        <is>
          <t>Private pay item - no Medicare coverage</t>
        </is>
      </c>
    </row>
    <row r="16">
      <c r="A16" t="inlineStr">
        <is>
          <t>E0744</t>
        </is>
      </c>
      <c r="B16" t="inlineStr">
        <is>
          <t>DM16</t>
        </is>
      </c>
      <c r="C16" t="inlineStr">
        <is>
          <t>NMES device - orofacial</t>
        </is>
      </c>
      <c r="D16" t="n">
        <v>2</v>
      </c>
      <c r="E16" s="2" t="n">
        <v>250</v>
      </c>
      <c r="F16" s="2" t="n">
        <v>500</v>
      </c>
      <c r="G16" t="inlineStr">
        <is>
          <t>Private pay item - no Medicare coverage</t>
        </is>
      </c>
    </row>
    <row r="17">
      <c r="A17" t="inlineStr">
        <is>
          <t>E0745</t>
        </is>
      </c>
      <c r="B17" t="inlineStr">
        <is>
          <t>DM16</t>
        </is>
      </c>
      <c r="C17" t="inlineStr">
        <is>
          <t>NMES device - other</t>
        </is>
      </c>
      <c r="D17" t="n">
        <v>1</v>
      </c>
      <c r="E17" s="2" t="n">
        <v>300</v>
      </c>
      <c r="F17" s="2" t="n">
        <v>300</v>
      </c>
      <c r="G17" t="inlineStr">
        <is>
          <t>Private pay item - no Medicare coverage</t>
        </is>
      </c>
    </row>
    <row r="18">
      <c r="A18" t="inlineStr">
        <is>
          <t>A4595</t>
        </is>
      </c>
      <c r="B18" t="inlineStr">
        <is>
          <t>DM22</t>
        </is>
      </c>
      <c r="C18" t="inlineStr">
        <is>
          <t>TENS electrode pads</t>
        </is>
      </c>
      <c r="D18" t="n">
        <v>80</v>
      </c>
      <c r="E18" s="2" t="n">
        <v>8</v>
      </c>
      <c r="F18" s="2" t="n">
        <v>640</v>
      </c>
      <c r="G18" t="inlineStr">
        <is>
          <t>Private pay item - no Medicare coverage</t>
        </is>
      </c>
    </row>
    <row r="19">
      <c r="A19" t="inlineStr">
        <is>
          <t>E1011</t>
        </is>
      </c>
      <c r="B19" t="inlineStr">
        <is>
          <t>M06A</t>
        </is>
      </c>
      <c r="C19" t="inlineStr">
        <is>
          <t>MODIFICATION TO PEDIATRIC SIZE WHEELCHAIR, WIDTH ADJUSTMENT PACKAGE (NOT TO BE DISPENSED WITH INITIAL CHAIR)</t>
        </is>
      </c>
      <c r="D19" t="n">
        <v>2</v>
      </c>
      <c r="E19" s="2" t="n">
        <v>37.65557142857143</v>
      </c>
      <c r="F19" s="2" t="n">
        <v>75.31114285714285</v>
      </c>
      <c r="G19" t="inlineStr">
        <is>
          <t>Private pay item - no Medicare coverage</t>
        </is>
      </c>
    </row>
    <row r="20">
      <c r="A20" t="inlineStr">
        <is>
          <t>E2230</t>
        </is>
      </c>
      <c r="B20" t="inlineStr">
        <is>
          <t>M06A</t>
        </is>
      </c>
      <c r="C20" t="inlineStr">
        <is>
          <t>MANUAL WHEELCHAIR ACCESSORY, MANUAL STANDING SYSTEM</t>
        </is>
      </c>
      <c r="D20" t="n">
        <v>2</v>
      </c>
      <c r="E20" s="2" t="n">
        <v>37.65557142857143</v>
      </c>
      <c r="F20" s="2" t="n">
        <v>75.31114285714285</v>
      </c>
      <c r="G20" t="inlineStr">
        <is>
          <t>Private pay item - no Medicare coverage</t>
        </is>
      </c>
    </row>
    <row r="21">
      <c r="A21" t="inlineStr">
        <is>
          <t>A6561</t>
        </is>
      </c>
      <c r="B21" t="inlineStr">
        <is>
          <t>S04</t>
        </is>
      </c>
      <c r="C21" t="inlineStr">
        <is>
          <t>GRADIENT COMPRESSION STOCKING, FULL LENGTH/CHAP STYLE, 40 MMHG OR GREATER, CUSTOM, EACH</t>
        </is>
      </c>
      <c r="D21" t="n">
        <v>2</v>
      </c>
      <c r="E21" s="2" t="n">
        <v>156.5327142857143</v>
      </c>
      <c r="F21" s="2" t="n">
        <v>313.0654285714285</v>
      </c>
      <c r="G21" t="inlineStr">
        <is>
          <t>High-volume consumable - may have alternative coverage</t>
        </is>
      </c>
    </row>
    <row r="22">
      <c r="A22" t="inlineStr">
        <is>
          <t>A6213</t>
        </is>
      </c>
      <c r="B22" t="inlineStr">
        <is>
          <t>S01</t>
        </is>
      </c>
      <c r="C22" t="inlineStr">
        <is>
          <t>FOAM DRESSING, WOUND COVER, STERILE, PAD SIZE MORE THAN 16 SQ. IN. BUT LESS THAN OR EQUAL TO 48 SQ. IN., WITH ANY SIZE ADHESIVE BORDER, EACH DRESSING</t>
        </is>
      </c>
      <c r="D22" t="n">
        <v>2</v>
      </c>
      <c r="E22" s="2" t="n">
        <v>14.31505617977528</v>
      </c>
      <c r="F22" s="2" t="n">
        <v>28.63011235955056</v>
      </c>
      <c r="G22" t="inlineStr">
        <is>
          <t>Private pay item - no Medicare coverage</t>
        </is>
      </c>
    </row>
    <row r="23">
      <c r="A23" t="inlineStr">
        <is>
          <t>A6228</t>
        </is>
      </c>
      <c r="B23" t="inlineStr">
        <is>
          <t>S01</t>
        </is>
      </c>
      <c r="C23" t="inlineStr">
        <is>
          <t>GAUZE, IMPREGNATED, WATER OR NORMAL SALINE, STERILE, PAD SIZE 16 SQ. IN. OR LESS, WITHOUT ADHESIVE BORDER, EACH DRESSING</t>
        </is>
      </c>
      <c r="D23" t="n">
        <v>2</v>
      </c>
      <c r="E23" s="2" t="n">
        <v>14.31505617977528</v>
      </c>
      <c r="F23" s="2" t="n">
        <v>28.63011235955056</v>
      </c>
      <c r="G23" t="inlineStr">
        <is>
          <t>Private pay item - no Medicare coverage</t>
        </is>
      </c>
    </row>
    <row r="24">
      <c r="A24" t="inlineStr">
        <is>
          <t>A6230</t>
        </is>
      </c>
      <c r="B24" t="inlineStr">
        <is>
          <t>S01</t>
        </is>
      </c>
      <c r="C24" t="inlineStr">
        <is>
          <t>GAUZE, IMPREGNATED, WATER OR NORMAL SALINE, STERILE, PAD SIZE MORE THAN 48 SQ. IN., WITHOUT ADHESIVE BORDER, EACH DRESSING</t>
        </is>
      </c>
      <c r="D24" t="n">
        <v>2</v>
      </c>
      <c r="E24" s="2" t="n">
        <v>14.31505617977528</v>
      </c>
      <c r="F24" s="2" t="n">
        <v>28.63011235955056</v>
      </c>
      <c r="G24" t="inlineStr">
        <is>
          <t>Private pay item - no Medicare coverage</t>
        </is>
      </c>
    </row>
    <row r="25">
      <c r="A25" t="inlineStr">
        <is>
          <t>A4557</t>
        </is>
      </c>
      <c r="B25" t="inlineStr">
        <is>
          <t>DM22</t>
        </is>
      </c>
      <c r="C25" t="inlineStr">
        <is>
          <t>TENS lead wires</t>
        </is>
      </c>
      <c r="D25" t="n">
        <v>15</v>
      </c>
      <c r="E25" s="2" t="n">
        <v>12</v>
      </c>
      <c r="F25" s="2" t="n">
        <v>180</v>
      </c>
      <c r="G25" t="inlineStr">
        <is>
          <t>Private pay item - no Medicare coverage</t>
        </is>
      </c>
    </row>
    <row r="26">
      <c r="A26" t="inlineStr">
        <is>
          <t>K0108</t>
        </is>
      </c>
      <c r="B26" t="inlineStr">
        <is>
          <t>M06A</t>
        </is>
      </c>
      <c r="C26" t="inlineStr">
        <is>
          <t>WHEELCHAIR COMPONENT OR ACCESSORY, NOT OTHERWISE SPECIFIED</t>
        </is>
      </c>
      <c r="D26" t="n">
        <v>2</v>
      </c>
      <c r="E26" s="2" t="n">
        <v>37.65557142857143</v>
      </c>
      <c r="F26" s="2" t="n">
        <v>75.31114285714285</v>
      </c>
      <c r="G26" t="inlineStr">
        <is>
          <t>Private pay item - no Medicare coverage</t>
        </is>
      </c>
    </row>
    <row r="27">
      <c r="A27" t="inlineStr">
        <is>
          <t>E1017</t>
        </is>
      </c>
      <c r="B27" t="inlineStr">
        <is>
          <t>M06A</t>
        </is>
      </c>
      <c r="C27" t="inlineStr">
        <is>
          <t>HEAVY DUTY SHOCK ABSORBER FOR HEAVY DUTY OR EXTRA HEAVY DUTY MANUAL WHEELCHAIR, EACH</t>
        </is>
      </c>
      <c r="D27" t="n">
        <v>2</v>
      </c>
      <c r="E27" s="2" t="n">
        <v>37.65557142857143</v>
      </c>
      <c r="F27" s="2" t="n">
        <v>75.31114285714285</v>
      </c>
      <c r="G27" t="inlineStr">
        <is>
          <t>Private pay item - no Medicare coverage</t>
        </is>
      </c>
    </row>
    <row r="28">
      <c r="A28" t="inlineStr">
        <is>
          <t>E0165</t>
        </is>
      </c>
      <c r="B28" t="inlineStr">
        <is>
          <t>DM02</t>
        </is>
      </c>
      <c r="C28" t="inlineStr">
        <is>
          <t>Commode chair - detachable arms</t>
        </is>
      </c>
      <c r="D28" t="n">
        <v>4</v>
      </c>
      <c r="E28" s="2" t="n">
        <v>175</v>
      </c>
      <c r="F28" s="2" t="n">
        <v>700</v>
      </c>
      <c r="G28" t="inlineStr">
        <is>
          <t>Private pay item - no Medicare coverage</t>
        </is>
      </c>
    </row>
    <row r="29">
      <c r="A29" t="inlineStr">
        <is>
          <t>E2001</t>
        </is>
      </c>
      <c r="B29" t="inlineStr">
        <is>
          <t>DM29</t>
        </is>
      </c>
      <c r="C29" t="inlineStr">
        <is>
          <t>Suction pump - portable</t>
        </is>
      </c>
      <c r="D29" t="n">
        <v>3</v>
      </c>
      <c r="E29" s="2" t="n">
        <v>350</v>
      </c>
      <c r="F29" s="2" t="n">
        <v>1050</v>
      </c>
      <c r="G29" t="inlineStr">
        <is>
          <t>Private pay item - no Medicare coverage</t>
        </is>
      </c>
    </row>
    <row r="30">
      <c r="A30" t="inlineStr">
        <is>
          <t>E0572</t>
        </is>
      </c>
      <c r="B30" t="inlineStr">
        <is>
          <t>R07</t>
        </is>
      </c>
      <c r="C30" t="inlineStr">
        <is>
          <t>Nebulizer - aerosol compressor</t>
        </is>
      </c>
      <c r="D30" t="n">
        <v>3</v>
      </c>
      <c r="E30" s="2" t="n">
        <v>85</v>
      </c>
      <c r="F30" s="2" t="n">
        <v>255</v>
      </c>
      <c r="G30" t="inlineStr">
        <is>
          <t>Private pay item - no Medicare coverage</t>
        </is>
      </c>
    </row>
    <row r="31">
      <c r="A31" t="inlineStr">
        <is>
          <t>L3702</t>
        </is>
      </c>
      <c r="B31" t="inlineStr">
        <is>
          <t>OR03</t>
        </is>
      </c>
      <c r="C31" t="inlineStr">
        <is>
          <t>Elbow orthosis - without joints</t>
        </is>
      </c>
      <c r="D31" t="n">
        <v>3</v>
      </c>
      <c r="E31" s="2" t="n">
        <v>40</v>
      </c>
      <c r="F31" s="2" t="n">
        <v>120</v>
      </c>
      <c r="G31" t="inlineStr">
        <is>
          <t>Private pay item - no Medicare coverage</t>
        </is>
      </c>
    </row>
    <row r="32">
      <c r="A32" t="inlineStr">
        <is>
          <t>B4160</t>
        </is>
      </c>
      <c r="B32" t="inlineStr">
        <is>
          <t>PE03</t>
        </is>
      </c>
      <c r="C32" t="inlineStr">
        <is>
          <t>Enteral formula - pediatric</t>
        </is>
      </c>
      <c r="D32" t="n">
        <v>10</v>
      </c>
      <c r="E32" s="2" t="n">
        <v>35</v>
      </c>
      <c r="F32" s="2" t="n">
        <v>350</v>
      </c>
      <c r="G32" t="inlineStr">
        <is>
          <t>Private pay item - no Medicare coverage</t>
        </is>
      </c>
    </row>
    <row r="33">
      <c r="A33" t="inlineStr">
        <is>
          <t>B4161</t>
        </is>
      </c>
      <c r="B33" t="inlineStr">
        <is>
          <t>PE03</t>
        </is>
      </c>
      <c r="C33" t="inlineStr">
        <is>
          <t>Enteral formula - specialized infant</t>
        </is>
      </c>
      <c r="D33" t="n">
        <v>5</v>
      </c>
      <c r="E33" s="2" t="n">
        <v>45</v>
      </c>
      <c r="F33" s="2" t="n">
        <v>225</v>
      </c>
      <c r="G33" t="inlineStr">
        <is>
          <t>Private pay item - no Medicare coverage</t>
        </is>
      </c>
    </row>
    <row r="34">
      <c r="A34" t="inlineStr">
        <is>
          <t>E0781</t>
        </is>
      </c>
      <c r="B34" t="inlineStr">
        <is>
          <t>DM12</t>
        </is>
      </c>
      <c r="C34" t="inlineStr">
        <is>
          <t>Ambulatory infusion pump</t>
        </is>
      </c>
      <c r="D34" t="n">
        <v>2</v>
      </c>
      <c r="E34" s="2" t="n">
        <v>450</v>
      </c>
      <c r="F34" s="2" t="n">
        <v>900</v>
      </c>
      <c r="G34" t="inlineStr">
        <is>
          <t>Private pay item - no Medicare coverage</t>
        </is>
      </c>
    </row>
    <row r="35">
      <c r="A35" t="inlineStr">
        <is>
          <t>E0779</t>
        </is>
      </c>
      <c r="B35" t="inlineStr">
        <is>
          <t>DM12</t>
        </is>
      </c>
      <c r="C35" t="inlineStr">
        <is>
          <t>Stationary infusion pump</t>
        </is>
      </c>
      <c r="D35" t="n">
        <v>1</v>
      </c>
      <c r="E35" s="2" t="n">
        <v>650</v>
      </c>
      <c r="F35" s="2" t="n">
        <v>650</v>
      </c>
      <c r="G35" t="inlineStr">
        <is>
          <t>Private pay item - no Medicare coverage</t>
        </is>
      </c>
    </row>
    <row r="36">
      <c r="A36" t="inlineStr">
        <is>
          <t>A4305</t>
        </is>
      </c>
      <c r="B36" t="inlineStr">
        <is>
          <t>DM12</t>
        </is>
      </c>
      <c r="C36" t="inlineStr">
        <is>
          <t>Infusion pump supply - drug cassette</t>
        </is>
      </c>
      <c r="D36" t="n">
        <v>10</v>
      </c>
      <c r="E36" s="2" t="n">
        <v>25</v>
      </c>
      <c r="F36" s="2" t="n">
        <v>250</v>
      </c>
      <c r="G36" t="inlineStr">
        <is>
          <t>Private pay item - no Medicare coverage</t>
        </is>
      </c>
    </row>
    <row r="37">
      <c r="A37" t="inlineStr">
        <is>
          <t>A4306</t>
        </is>
      </c>
      <c r="B37" t="inlineStr">
        <is>
          <t>DM12</t>
        </is>
      </c>
      <c r="C37" t="inlineStr">
        <is>
          <t>Infusion pump supply - administration set</t>
        </is>
      </c>
      <c r="D37" t="n">
        <v>10</v>
      </c>
      <c r="E37" s="2" t="n">
        <v>15</v>
      </c>
      <c r="F37" s="2" t="n">
        <v>150</v>
      </c>
      <c r="G37" t="inlineStr">
        <is>
          <t>Private pay item - no Medicare coverage</t>
        </is>
      </c>
    </row>
    <row r="38">
      <c r="A38" t="inlineStr">
        <is>
          <t>E2402</t>
        </is>
      </c>
      <c r="B38" t="inlineStr">
        <is>
          <t>DM15</t>
        </is>
      </c>
      <c r="C38" t="inlineStr">
        <is>
          <t>Negative pressure wound therapy pump</t>
        </is>
      </c>
      <c r="D38" t="n">
        <v>1</v>
      </c>
      <c r="E38" s="2" t="n">
        <v>850</v>
      </c>
      <c r="F38" s="2" t="n">
        <v>850</v>
      </c>
      <c r="G38" t="inlineStr">
        <is>
          <t>Private pay item - no Medicare coverage</t>
        </is>
      </c>
    </row>
    <row r="39">
      <c r="A39" t="inlineStr">
        <is>
          <t>E0855</t>
        </is>
      </c>
      <c r="B39" t="inlineStr">
        <is>
          <t>DM21</t>
        </is>
      </c>
      <c r="C39" t="inlineStr">
        <is>
          <t>Cervical traction equipment</t>
        </is>
      </c>
      <c r="D39" t="n">
        <v>2</v>
      </c>
      <c r="E39" s="2" t="n">
        <v>185</v>
      </c>
      <c r="F39" s="2" t="n">
        <v>370</v>
      </c>
      <c r="G39" t="inlineStr">
        <is>
          <t>Private pay item - no Medicare coverage</t>
        </is>
      </c>
    </row>
    <row r="40">
      <c r="A40" t="inlineStr">
        <is>
          <t>E0830</t>
        </is>
      </c>
      <c r="B40" t="inlineStr">
        <is>
          <t>DM21</t>
        </is>
      </c>
      <c r="C40" t="inlineStr">
        <is>
          <t>Ambulatory traction device</t>
        </is>
      </c>
      <c r="D40" t="n">
        <v>1</v>
      </c>
      <c r="E40" s="2" t="n">
        <v>125</v>
      </c>
      <c r="F40" s="2" t="n">
        <v>125</v>
      </c>
      <c r="G40" t="inlineStr">
        <is>
          <t>Private pay item - no Medicare coverage</t>
        </is>
      </c>
    </row>
    <row r="41">
      <c r="A41" t="inlineStr">
        <is>
          <t>A4483</t>
        </is>
      </c>
      <c r="B41" t="inlineStr">
        <is>
          <t>PD08</t>
        </is>
      </c>
      <c r="C41" t="inlineStr">
        <is>
          <t>Tracheostomy moisture exchanger</t>
        </is>
      </c>
      <c r="D41" t="n">
        <v>15</v>
      </c>
      <c r="E41" s="2" t="n">
        <v>12</v>
      </c>
      <c r="F41" s="2" t="n">
        <v>180</v>
      </c>
      <c r="G41" t="inlineStr">
        <is>
          <t>Private pay item - no Medicare coverage</t>
        </is>
      </c>
    </row>
    <row r="42">
      <c r="A42" t="inlineStr">
        <is>
          <t>E1229</t>
        </is>
      </c>
      <c r="B42" t="inlineStr">
        <is>
          <t>M06</t>
        </is>
      </c>
      <c r="C42" t="inlineStr">
        <is>
          <t>WHEELCHAIR, PEDIATRIC SIZE, NOT OTHERWISE SPECIFIED</t>
        </is>
      </c>
      <c r="D42" t="n">
        <v>1</v>
      </c>
      <c r="E42" s="2" t="n">
        <v>32.70218181818181</v>
      </c>
      <c r="F42" s="2" t="n">
        <v>32.70218181818181</v>
      </c>
      <c r="G42" t="inlineStr">
        <is>
          <t>Private pay item - no Medicare coverage</t>
        </is>
      </c>
    </row>
    <row r="43">
      <c r="A43" t="inlineStr">
        <is>
          <t>A9900</t>
        </is>
      </c>
      <c r="B43" t="inlineStr">
        <is>
          <t>M05</t>
        </is>
      </c>
      <c r="C43" t="inlineStr">
        <is>
          <t>MISCELLANEOUS DME SUPPLY, ACCESSORY, AND/OR SERVICE COMPONENT OF ANOTHER HCPCS CODE</t>
        </is>
      </c>
      <c r="D43" t="n">
        <v>1</v>
      </c>
      <c r="E43" s="2" t="n">
        <v>40.22362500000001</v>
      </c>
      <c r="F43" s="2" t="n">
        <v>40.22362500000001</v>
      </c>
      <c r="G43" t="inlineStr">
        <is>
          <t>Private pay item - no Medicare coverage</t>
        </is>
      </c>
    </row>
    <row r="44">
      <c r="A44" t="inlineStr">
        <is>
          <t>K0008</t>
        </is>
      </c>
      <c r="B44" t="inlineStr">
        <is>
          <t>M06</t>
        </is>
      </c>
      <c r="C44" t="inlineStr">
        <is>
          <t>CUSTOM MANUAL WHEELCHAIR/BASE</t>
        </is>
      </c>
      <c r="D44" t="n">
        <v>1</v>
      </c>
      <c r="E44" s="2" t="n">
        <v>32.70218181818181</v>
      </c>
      <c r="F44" s="2" t="n">
        <v>32.70218181818181</v>
      </c>
      <c r="G44" t="inlineStr">
        <is>
          <t>Private pay item - no Medicare coverage</t>
        </is>
      </c>
    </row>
    <row r="45">
      <c r="A45" t="inlineStr">
        <is>
          <t>E0118</t>
        </is>
      </c>
      <c r="B45" t="inlineStr">
        <is>
          <t>M01</t>
        </is>
      </c>
      <c r="C45" t="inlineStr">
        <is>
          <t>CRUTCH SUBSTITUTE, LOWER LEG PLATFORM, WITH OR WITHOUT WHEELS, EACH</t>
        </is>
      </c>
      <c r="D45" t="n">
        <v>1</v>
      </c>
      <c r="E45" s="2" t="n">
        <v>27.22846153846153</v>
      </c>
      <c r="F45" s="2" t="n">
        <v>27.22846153846153</v>
      </c>
      <c r="G45" t="inlineStr">
        <is>
          <t>Private pay item - no Medicare coverage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0" customWidth="1" min="3" max="3"/>
    <col width="10" customWidth="1" min="4" max="4"/>
    <col width="12" customWidth="1" min="5" max="5"/>
    <col width="12" customWidth="1" min="6" max="6"/>
    <col width="25" customWidth="1" min="7" max="7"/>
    <col width="10" customWidth="1" min="8" max="8"/>
  </cols>
  <sheetData>
    <row r="1">
      <c r="A1" s="4" t="inlineStr">
        <is>
          <t>HCPCS Code</t>
        </is>
      </c>
      <c r="B1" s="4" t="inlineStr">
        <is>
          <t>BOC Category</t>
        </is>
      </c>
      <c r="C1" s="4" t="inlineStr">
        <is>
          <t>Description</t>
        </is>
      </c>
      <c r="D1" s="4" t="inlineStr">
        <is>
          <t>Quantity</t>
        </is>
      </c>
      <c r="E1" s="4" t="inlineStr">
        <is>
          <t>Est Cost</t>
        </is>
      </c>
      <c r="F1" s="4" t="inlineStr">
        <is>
          <t>Total Cost</t>
        </is>
      </c>
      <c r="G1" s="4" t="inlineStr">
        <is>
          <t>Customer</t>
        </is>
      </c>
      <c r="H1" s="4" t="inlineStr">
        <is>
          <t>Priority</t>
        </is>
      </c>
    </row>
    <row r="2">
      <c r="A2" t="inlineStr">
        <is>
          <t>L4361</t>
        </is>
      </c>
      <c r="B2" t="inlineStr">
        <is>
          <t>OR03</t>
        </is>
      </c>
      <c r="C2" t="inlineStr">
        <is>
          <t>Walking boot - pneumatic/vacuum (CAM WALKER)</t>
        </is>
      </c>
      <c r="D2" t="n">
        <v>6</v>
      </c>
      <c r="E2" s="2" t="n">
        <v>70</v>
      </c>
      <c r="F2" s="2" t="n">
        <v>420</v>
      </c>
      <c r="G2" t="inlineStr">
        <is>
          <t>DR_NAS</t>
        </is>
      </c>
      <c r="H2" t="n">
        <v>100</v>
      </c>
    </row>
    <row r="3">
      <c r="A3" t="inlineStr">
        <is>
          <t>E0607</t>
        </is>
      </c>
      <c r="B3" t="inlineStr">
        <is>
          <t>DM06</t>
        </is>
      </c>
      <c r="C3" t="inlineStr">
        <is>
          <t>HOME BLOOD GLUCOSE MONITOR</t>
        </is>
      </c>
      <c r="D3" t="n">
        <v>25</v>
      </c>
      <c r="E3" s="2" t="n">
        <v>100</v>
      </c>
      <c r="F3" s="2" t="n">
        <v>2500</v>
      </c>
      <c r="G3" t="inlineStr">
        <is>
          <t>MOYHINOR, WALTERS</t>
        </is>
      </c>
      <c r="H3" t="n">
        <v>90</v>
      </c>
    </row>
    <row r="4">
      <c r="A4" t="inlineStr">
        <is>
          <t>L4370</t>
        </is>
      </c>
      <c r="B4" t="inlineStr">
        <is>
          <t>OR03</t>
        </is>
      </c>
      <c r="C4" t="inlineStr">
        <is>
          <t>Pneumatic full leg splint</t>
        </is>
      </c>
      <c r="D4" t="n">
        <v>2</v>
      </c>
      <c r="E4" s="2" t="n">
        <v>110</v>
      </c>
      <c r="F4" s="2" t="n">
        <v>220</v>
      </c>
      <c r="G4" t="inlineStr">
        <is>
          <t>DR_NAS</t>
        </is>
      </c>
      <c r="H4" t="n">
        <v>80</v>
      </c>
    </row>
    <row r="5">
      <c r="A5" t="inlineStr">
        <is>
          <t>L1906</t>
        </is>
      </c>
      <c r="B5" t="inlineStr">
        <is>
          <t>OR03</t>
        </is>
      </c>
      <c r="C5" t="inlineStr">
        <is>
          <t>AFO - multiligamentous ankle support</t>
        </is>
      </c>
      <c r="D5" t="n">
        <v>6</v>
      </c>
      <c r="E5" s="2" t="n">
        <v>80</v>
      </c>
      <c r="F5" s="2" t="n">
        <v>480</v>
      </c>
      <c r="G5" t="inlineStr">
        <is>
          <t>DR_NAS</t>
        </is>
      </c>
      <c r="H5" t="n">
        <v>80</v>
      </c>
    </row>
    <row r="6">
      <c r="A6" t="inlineStr">
        <is>
          <t>L4387</t>
        </is>
      </c>
      <c r="B6" t="inlineStr">
        <is>
          <t>OR03</t>
        </is>
      </c>
      <c r="C6" t="inlineStr">
        <is>
          <t>Walking boot - non-pneumatic</t>
        </is>
      </c>
      <c r="D6" t="n">
        <v>2</v>
      </c>
      <c r="E6" s="2" t="n">
        <v>135</v>
      </c>
      <c r="F6" s="2" t="n">
        <v>270</v>
      </c>
      <c r="G6" t="inlineStr">
        <is>
          <t>DR_NAS</t>
        </is>
      </c>
      <c r="H6" t="n">
        <v>80</v>
      </c>
    </row>
    <row r="7">
      <c r="A7" t="inlineStr">
        <is>
          <t>L1902</t>
        </is>
      </c>
      <c r="B7" t="inlineStr">
        <is>
          <t>OR03</t>
        </is>
      </c>
      <c r="C7" t="inlineStr">
        <is>
          <t>ANKLE ORTHOSIS, ANKLE GAUNTLET OR SIMILAR, WITH OR WITHOUT JOINTS, PREFABRICATED, OFF-THE-SHELF</t>
        </is>
      </c>
      <c r="D7" t="n">
        <v>20</v>
      </c>
      <c r="E7" s="2" t="n">
        <v>40</v>
      </c>
      <c r="F7" s="2" t="n">
        <v>800</v>
      </c>
      <c r="G7" t="inlineStr">
        <is>
          <t>DR_NAS</t>
        </is>
      </c>
      <c r="H7" t="n">
        <v>80</v>
      </c>
    </row>
    <row r="8">
      <c r="A8" t="inlineStr">
        <is>
          <t>L4350</t>
        </is>
      </c>
      <c r="B8" t="inlineStr">
        <is>
          <t>OR03</t>
        </is>
      </c>
      <c r="C8" t="inlineStr">
        <is>
          <t>Ankle control orthosis, stirrup style</t>
        </is>
      </c>
      <c r="D8" t="n">
        <v>2</v>
      </c>
      <c r="E8" s="2" t="n">
        <v>80</v>
      </c>
      <c r="F8" s="2" t="n">
        <v>160</v>
      </c>
      <c r="G8" t="inlineStr">
        <is>
          <t>DR_NAS</t>
        </is>
      </c>
      <c r="H8" t="n">
        <v>80</v>
      </c>
    </row>
    <row r="9">
      <c r="A9" t="inlineStr">
        <is>
          <t>E2103</t>
        </is>
      </c>
      <c r="B9" t="inlineStr">
        <is>
          <t>DM06</t>
        </is>
      </c>
      <c r="C9" t="inlineStr">
        <is>
          <t>Freestyle Libre CGM Reader</t>
        </is>
      </c>
      <c r="D9" t="n">
        <v>5</v>
      </c>
      <c r="E9" s="2" t="n">
        <v>400</v>
      </c>
      <c r="F9" s="2" t="n">
        <v>2000</v>
      </c>
      <c r="G9" t="inlineStr">
        <is>
          <t>MOYHINOR (CGM_STRATEGY)</t>
        </is>
      </c>
      <c r="H9" t="n">
        <v>70</v>
      </c>
    </row>
    <row r="10">
      <c r="A10" t="inlineStr">
        <is>
          <t>E2103</t>
        </is>
      </c>
      <c r="B10" t="inlineStr">
        <is>
          <t>DM06</t>
        </is>
      </c>
      <c r="C10" t="inlineStr">
        <is>
          <t>Dexcom G7 CGM Receiver</t>
        </is>
      </c>
      <c r="D10" t="n">
        <v>5</v>
      </c>
      <c r="E10" s="2" t="n">
        <v>400</v>
      </c>
      <c r="F10" s="2" t="n">
        <v>2000</v>
      </c>
      <c r="G10" t="inlineStr">
        <is>
          <t>MOYHINOR (CGM_STRATEGY)</t>
        </is>
      </c>
      <c r="H10" t="n">
        <v>70</v>
      </c>
    </row>
    <row r="11">
      <c r="A11" t="inlineStr">
        <is>
          <t>E0130</t>
        </is>
      </c>
      <c r="B11" t="inlineStr">
        <is>
          <t>M05</t>
        </is>
      </c>
      <c r="C11" t="inlineStr">
        <is>
          <t>WALKER, RIGID (PICKUP), ADJUSTABLE OR FIXED HEIGHT</t>
        </is>
      </c>
      <c r="D11" t="n">
        <v>5</v>
      </c>
      <c r="E11" s="2" t="n">
        <v>100</v>
      </c>
      <c r="F11" s="2" t="n">
        <v>500</v>
      </c>
      <c r="G11" t="inlineStr">
        <is>
          <t>RAMBOM</t>
        </is>
      </c>
      <c r="H11" t="n">
        <v>70</v>
      </c>
    </row>
    <row r="12">
      <c r="A12" t="inlineStr">
        <is>
          <t>E0143</t>
        </is>
      </c>
      <c r="B12" t="inlineStr">
        <is>
          <t>M05</t>
        </is>
      </c>
      <c r="C12" t="inlineStr">
        <is>
          <t>WALKER, FOLDING, WHEELED, ADJUSTABLE OR FIXED HEIGHT</t>
        </is>
      </c>
      <c r="D12" t="n">
        <v>3</v>
      </c>
      <c r="E12" s="2" t="n">
        <v>200</v>
      </c>
      <c r="F12" s="2" t="n">
        <v>600</v>
      </c>
      <c r="G12" t="inlineStr">
        <is>
          <t>RAMBOM</t>
        </is>
      </c>
      <c r="H12" t="n">
        <v>70</v>
      </c>
    </row>
    <row r="13">
      <c r="A13" t="inlineStr">
        <is>
          <t>A4239</t>
        </is>
      </c>
      <c r="B13" t="inlineStr">
        <is>
          <t>DM06</t>
        </is>
      </c>
      <c r="C13" t="inlineStr">
        <is>
          <t>Freestyle Libre CGM Sensors, 30-day</t>
        </is>
      </c>
      <c r="D13" t="n">
        <v>10</v>
      </c>
      <c r="E13" s="2" t="n">
        <v>70</v>
      </c>
      <c r="F13" s="2" t="n">
        <v>700</v>
      </c>
      <c r="G13" t="inlineStr">
        <is>
          <t>MOYHINOR (CGM_STRATEGY)</t>
        </is>
      </c>
      <c r="H13" t="n">
        <v>70</v>
      </c>
    </row>
    <row r="14">
      <c r="A14" t="inlineStr">
        <is>
          <t>A4239</t>
        </is>
      </c>
      <c r="B14" t="inlineStr">
        <is>
          <t>DM06</t>
        </is>
      </c>
      <c r="C14" t="inlineStr">
        <is>
          <t>Dexcom G7 CGM Sensors, 30-day</t>
        </is>
      </c>
      <c r="D14" t="n">
        <v>10</v>
      </c>
      <c r="E14" s="2" t="n">
        <v>90</v>
      </c>
      <c r="F14" s="2" t="n">
        <v>900</v>
      </c>
      <c r="G14" t="inlineStr">
        <is>
          <t>MOYHINOR (CGM_STRATEGY)</t>
        </is>
      </c>
      <c r="H14" t="n">
        <v>70</v>
      </c>
    </row>
    <row r="15">
      <c r="A15" t="inlineStr">
        <is>
          <t>A4253</t>
        </is>
      </c>
      <c r="B15" t="inlineStr">
        <is>
          <t>DM06</t>
        </is>
      </c>
      <c r="C15" t="inlineStr">
        <is>
          <t>BLOOD GLUCOSE TEST OR REAGENT STRIPS FOR HOME BLOOD GLUCOSE MONITOR, PER 50 STRIPS</t>
        </is>
      </c>
      <c r="D15" t="n">
        <v>1500</v>
      </c>
      <c r="E15" s="2" t="n">
        <v>0.5</v>
      </c>
      <c r="F15" s="2" t="n">
        <v>750</v>
      </c>
      <c r="G15" t="inlineStr">
        <is>
          <t>WALTERS</t>
        </is>
      </c>
      <c r="H15" t="n">
        <v>70</v>
      </c>
    </row>
    <row r="16">
      <c r="A16" t="inlineStr">
        <is>
          <t>K0001</t>
        </is>
      </c>
      <c r="B16" t="inlineStr">
        <is>
          <t>M06</t>
        </is>
      </c>
      <c r="C16" t="inlineStr">
        <is>
          <t>STANDARD WHEELCHAIR</t>
        </is>
      </c>
      <c r="D16" t="n">
        <v>2</v>
      </c>
      <c r="E16" s="2" t="n">
        <v>400</v>
      </c>
      <c r="F16" s="2" t="n">
        <v>800</v>
      </c>
      <c r="G16" t="inlineStr">
        <is>
          <t>MOYHINOR</t>
        </is>
      </c>
      <c r="H16" t="n">
        <v>70</v>
      </c>
    </row>
    <row r="17">
      <c r="A17" t="inlineStr">
        <is>
          <t>A4259</t>
        </is>
      </c>
      <c r="B17" t="inlineStr">
        <is>
          <t>DM06</t>
        </is>
      </c>
      <c r="C17" t="inlineStr">
        <is>
          <t>LANCETS, PER BOX OF 100</t>
        </is>
      </c>
      <c r="D17" t="n">
        <v>1000</v>
      </c>
      <c r="E17" s="2" t="n">
        <v>0.2</v>
      </c>
      <c r="F17" s="2" t="n">
        <v>200</v>
      </c>
      <c r="G17" t="inlineStr">
        <is>
          <t>WALTERS</t>
        </is>
      </c>
      <c r="H17" t="n">
        <v>70</v>
      </c>
    </row>
    <row r="18">
      <c r="A18" t="inlineStr">
        <is>
          <t>E0570</t>
        </is>
      </c>
      <c r="B18" t="inlineStr">
        <is>
          <t>R07</t>
        </is>
      </c>
      <c r="C18" t="inlineStr">
        <is>
          <t>NEBULIZER, WITH COMPRESSOR</t>
        </is>
      </c>
      <c r="D18" t="n">
        <v>6</v>
      </c>
      <c r="E18" s="2" t="n">
        <v>150</v>
      </c>
      <c r="F18" s="2" t="n">
        <v>900</v>
      </c>
      <c r="G18" t="inlineStr">
        <is>
          <t>RAMBOM</t>
        </is>
      </c>
      <c r="H18" t="n">
        <v>60</v>
      </c>
    </row>
    <row r="19">
      <c r="A19" t="inlineStr">
        <is>
          <t>A4554</t>
        </is>
      </c>
      <c r="B19" t="inlineStr">
        <is>
          <t>PD09</t>
        </is>
      </c>
      <c r="C19" t="inlineStr">
        <is>
          <t>DISPOSABLE UNDERPADS, ALL SIZES</t>
        </is>
      </c>
      <c r="D19" t="n">
        <v>2000</v>
      </c>
      <c r="E19" s="2" t="n">
        <v>0.125</v>
      </c>
      <c r="F19" s="2" t="n">
        <v>250</v>
      </c>
      <c r="G19" t="inlineStr">
        <is>
          <t>WALTERS</t>
        </is>
      </c>
      <c r="H19" t="n">
        <v>60</v>
      </c>
    </row>
    <row r="20">
      <c r="A20" t="inlineStr">
        <is>
          <t>A4520</t>
        </is>
      </c>
      <c r="B20" t="inlineStr">
        <is>
          <t>PD09</t>
        </is>
      </c>
      <c r="C20" t="inlineStr">
        <is>
          <t>INCONTINENCE GARMENT, ANY TYPE, (E.G., BRIEF, DIAPER), EACH</t>
        </is>
      </c>
      <c r="D20" t="n">
        <v>3000</v>
      </c>
      <c r="E20" s="2" t="n">
        <v>1.166666666666667</v>
      </c>
      <c r="F20" s="2" t="n">
        <v>3500</v>
      </c>
      <c r="G20" t="inlineStr">
        <is>
          <t>WALTERS</t>
        </is>
      </c>
      <c r="H20" t="n">
        <v>60</v>
      </c>
    </row>
    <row r="21">
      <c r="A21" t="inlineStr">
        <is>
          <t>B4150</t>
        </is>
      </c>
      <c r="B21" t="inlineStr">
        <is>
          <t>PE03</t>
        </is>
      </c>
      <c r="C21" t="inlineStr">
        <is>
          <t>ENTERAL FORMULA, NUTRITIONALLY COMPLETE WITH INTACT NUTRIENTS, INCLUDES PROTEINS, FATS, CARBOHYDRATES, VITAMINS AND MINERALS, MAY INCLUDE FIBER, ADMINISTERED THROUGH AN ENTERAL FEEDING TUBE, 100 CALORIES = 1 UNIT</t>
        </is>
      </c>
      <c r="D21" t="n">
        <v>40</v>
      </c>
      <c r="E21" s="2" t="n">
        <v>30</v>
      </c>
      <c r="F21" s="2" t="n">
        <v>1200</v>
      </c>
      <c r="G21" t="inlineStr">
        <is>
          <t>RAMBOM</t>
        </is>
      </c>
      <c r="H21"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2025-11-22T23:57:23Z</dcterms:created>
  <dcterms:modified xsi:type="dcterms:W3CDTF">2025-11-23T01:06:55Z</dcterms:modified>
</cp:coreProperties>
</file>