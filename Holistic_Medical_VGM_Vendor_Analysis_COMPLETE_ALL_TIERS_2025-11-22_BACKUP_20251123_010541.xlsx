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Analysis" sheetId="1" state="visible" r:id="rId1"/>
    <sheet name="BOC Category Summary" sheetId="2" state="visible" r:id="rId2"/>
    <sheet name="Items Without Medicare Rates" sheetId="3" state="visible" r:id="rId3"/>
    <sheet name="Customer Requests" sheetId="4" state="visible" r:id="rId4"/>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0" fontId="1" fillId="2" borderId="0" applyAlignment="1" pivotButton="0" quotePrefix="0" xfId="0">
      <alignment horizontal="center" vertical="center"/>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10" customWidth="1" min="4" max="4"/>
    <col width="12" customWidth="1" min="5" max="5"/>
    <col width="15" customWidth="1" min="6" max="6"/>
    <col width="12" customWidth="1" min="7" max="7"/>
    <col width="15" customWidth="1" min="8" max="8"/>
    <col width="12" customWidth="1" min="9" max="9"/>
    <col width="15" customWidth="1" min="10" max="10"/>
    <col width="12" customWidth="1" min="11" max="11"/>
    <col width="15" customWidth="1" min="12" max="12"/>
    <col width="12" customWidth="1" min="13" max="13"/>
    <col width="12" customWidth="1" min="14" max="14"/>
    <col width="15" customWidth="1" min="15" max="15"/>
    <col width="12" customWidth="1" min="16" max="16"/>
    <col width="10" customWidth="1" min="17" max="17"/>
    <col width="18" customWidth="1" min="18" max="18"/>
    <col width="20" customWidth="1" min="19" max="19"/>
  </cols>
  <sheetData>
    <row r="1">
      <c r="A1" s="1" t="inlineStr">
        <is>
          <t>HCPCS Code</t>
        </is>
      </c>
      <c r="B1" s="1" t="inlineStr">
        <is>
          <t>BOC Category</t>
        </is>
      </c>
      <c r="C1" s="1" t="inlineStr">
        <is>
          <t>Description</t>
        </is>
      </c>
      <c r="D1" s="1" t="inlineStr">
        <is>
          <t>Quantity</t>
        </is>
      </c>
      <c r="E1" s="1" t="inlineStr">
        <is>
          <t>Medicare Allowable Rate</t>
        </is>
      </c>
      <c r="F1" s="1" t="inlineStr">
        <is>
          <t>Vendor A Name</t>
        </is>
      </c>
      <c r="G1" s="1" t="inlineStr">
        <is>
          <t>Vendor A Unit Cost</t>
        </is>
      </c>
      <c r="H1" s="1" t="inlineStr">
        <is>
          <t>Vendor B Name</t>
        </is>
      </c>
      <c r="I1" s="1" t="inlineStr">
        <is>
          <t>Vendor B Unit Cost</t>
        </is>
      </c>
      <c r="J1" s="1" t="inlineStr">
        <is>
          <t>Vendor C Name</t>
        </is>
      </c>
      <c r="K1" s="1" t="inlineStr">
        <is>
          <t>Vendor C Unit Cost</t>
        </is>
      </c>
      <c r="L1" s="1" t="inlineStr">
        <is>
          <t>Best Vendor</t>
        </is>
      </c>
      <c r="M1" s="1" t="inlineStr">
        <is>
          <t>Best Unit Cost</t>
        </is>
      </c>
      <c r="N1" s="1" t="inlineStr">
        <is>
          <t>Line Total Cost</t>
        </is>
      </c>
      <c r="O1" s="1" t="inlineStr">
        <is>
          <t>Medicare Revenue</t>
        </is>
      </c>
      <c r="P1" s="1" t="inlineStr">
        <is>
          <t>Profit Margin %</t>
        </is>
      </c>
      <c r="Q1" s="1" t="inlineStr">
        <is>
          <t>Priority</t>
        </is>
      </c>
      <c r="R1" s="1" t="inlineStr">
        <is>
          <t>Source</t>
        </is>
      </c>
      <c r="S1" s="1" t="inlineStr">
        <is>
          <t>Customer</t>
        </is>
      </c>
    </row>
    <row r="2">
      <c r="A2" t="inlineStr">
        <is>
          <t>L4361</t>
        </is>
      </c>
      <c r="B2" t="inlineStr">
        <is>
          <t>OR03</t>
        </is>
      </c>
      <c r="C2" t="inlineStr">
        <is>
          <t>Walking boot - pneumatic/vacuum (CAM WALKER)</t>
        </is>
      </c>
      <c r="D2" t="n">
        <v>6</v>
      </c>
      <c r="E2" s="2" t="n">
        <v>103.88</v>
      </c>
      <c r="G2" s="2" t="inlineStr"/>
      <c r="I2" s="2" t="inlineStr"/>
      <c r="K2" s="2" t="inlineStr"/>
      <c r="L2">
        <f>IF(M2=G2,F2,IF(M2=I2,H2,J2))</f>
        <v/>
      </c>
      <c r="M2" s="2">
        <f>MIN(G2,I2,K2)</f>
        <v/>
      </c>
      <c r="N2" s="2">
        <f>D2*M2</f>
        <v/>
      </c>
      <c r="O2" s="2">
        <f>IF(ISBLANK(E2),0,D2*E2)</f>
        <v/>
      </c>
      <c r="P2" s="3">
        <f>IF(O2=0,0,(O2-N2)/O2)</f>
        <v/>
      </c>
      <c r="Q2" t="n">
        <v>100</v>
      </c>
      <c r="R2" t="inlineStr">
        <is>
          <t>CUSTOMER</t>
        </is>
      </c>
      <c r="S2" t="inlineStr">
        <is>
          <t>DR_NAS</t>
        </is>
      </c>
    </row>
    <row r="3">
      <c r="A3" t="inlineStr">
        <is>
          <t>E0607</t>
        </is>
      </c>
      <c r="B3" t="inlineStr">
        <is>
          <t>DM06</t>
        </is>
      </c>
      <c r="C3" t="inlineStr">
        <is>
          <t>HOME BLOOD GLUCOSE MONITOR</t>
        </is>
      </c>
      <c r="D3" t="n">
        <v>25</v>
      </c>
      <c r="E3" s="2" t="n">
        <v>93.36</v>
      </c>
      <c r="G3" s="2" t="inlineStr"/>
      <c r="I3" s="2" t="inlineStr"/>
      <c r="K3" s="2" t="inlineStr"/>
      <c r="L3">
        <f>IF(M3=G3,F3,IF(M3=I3,H3,J3))</f>
        <v/>
      </c>
      <c r="M3" s="2">
        <f>MIN(G3,I3,K3)</f>
        <v/>
      </c>
      <c r="N3" s="2">
        <f>D3*M3</f>
        <v/>
      </c>
      <c r="O3" s="2">
        <f>IF(ISBLANK(E3),0,D3*E3)</f>
        <v/>
      </c>
      <c r="P3" s="3">
        <f>IF(O3=0,0,(O3-N3)/O3)</f>
        <v/>
      </c>
      <c r="Q3" t="n">
        <v>90</v>
      </c>
      <c r="R3" t="inlineStr">
        <is>
          <t>CUSTOMER</t>
        </is>
      </c>
      <c r="S3" t="inlineStr">
        <is>
          <t>MOYHINOR, WALTERS</t>
        </is>
      </c>
    </row>
    <row r="4">
      <c r="A4" t="inlineStr">
        <is>
          <t>L4370</t>
        </is>
      </c>
      <c r="B4" t="inlineStr">
        <is>
          <t>OR03</t>
        </is>
      </c>
      <c r="C4" t="inlineStr">
        <is>
          <t>Pneumatic full leg splint</t>
        </is>
      </c>
      <c r="D4" t="n">
        <v>2</v>
      </c>
      <c r="E4" s="2" t="n">
        <v>150</v>
      </c>
      <c r="G4" s="2" t="inlineStr"/>
      <c r="I4" s="2" t="inlineStr"/>
      <c r="K4" s="2" t="inlineStr"/>
      <c r="L4">
        <f>IF(M4=G4,F4,IF(M4=I4,H4,J4))</f>
        <v/>
      </c>
      <c r="M4" s="2">
        <f>MIN(G4,I4,K4)</f>
        <v/>
      </c>
      <c r="N4" s="2">
        <f>D4*M4</f>
        <v/>
      </c>
      <c r="O4" s="2">
        <f>IF(ISBLANK(E4),0,D4*E4)</f>
        <v/>
      </c>
      <c r="P4" s="3">
        <f>IF(O4=0,0,(O4-N4)/O4)</f>
        <v/>
      </c>
      <c r="Q4" t="n">
        <v>80</v>
      </c>
      <c r="R4" t="inlineStr">
        <is>
          <t>CUSTOMER</t>
        </is>
      </c>
      <c r="S4" t="inlineStr">
        <is>
          <t>DR_NAS</t>
        </is>
      </c>
    </row>
    <row r="5">
      <c r="A5" t="inlineStr">
        <is>
          <t>L1906</t>
        </is>
      </c>
      <c r="B5" t="inlineStr">
        <is>
          <t>OR03</t>
        </is>
      </c>
      <c r="C5" t="inlineStr">
        <is>
          <t>AFO - multiligamentous ankle support</t>
        </is>
      </c>
      <c r="D5" t="n">
        <v>6</v>
      </c>
      <c r="E5" s="2" t="n">
        <v>117.69</v>
      </c>
      <c r="G5" s="2" t="inlineStr"/>
      <c r="I5" s="2" t="inlineStr"/>
      <c r="K5" s="2" t="inlineStr"/>
      <c r="L5">
        <f>IF(M5=G5,F5,IF(M5=I5,H5,J5))</f>
        <v/>
      </c>
      <c r="M5" s="2">
        <f>MIN(G5,I5,K5)</f>
        <v/>
      </c>
      <c r="N5" s="2">
        <f>D5*M5</f>
        <v/>
      </c>
      <c r="O5" s="2">
        <f>IF(ISBLANK(E5),0,D5*E5)</f>
        <v/>
      </c>
      <c r="P5" s="3">
        <f>IF(O5=0,0,(O5-N5)/O5)</f>
        <v/>
      </c>
      <c r="Q5" t="n">
        <v>80</v>
      </c>
      <c r="R5" t="inlineStr">
        <is>
          <t>CUSTOMER</t>
        </is>
      </c>
      <c r="S5" t="inlineStr">
        <is>
          <t>DR_NAS</t>
        </is>
      </c>
    </row>
    <row r="6">
      <c r="A6" t="inlineStr">
        <is>
          <t>L4387</t>
        </is>
      </c>
      <c r="B6" t="inlineStr">
        <is>
          <t>OR03</t>
        </is>
      </c>
      <c r="C6" t="inlineStr">
        <is>
          <t>Walking boot - non-pneumatic</t>
        </is>
      </c>
      <c r="D6" t="n">
        <v>2</v>
      </c>
      <c r="E6" s="2" t="n">
        <v>103.88</v>
      </c>
      <c r="G6" s="2" t="inlineStr"/>
      <c r="I6" s="2" t="inlineStr"/>
      <c r="K6" s="2" t="inlineStr"/>
      <c r="L6">
        <f>IF(M6=G6,F6,IF(M6=I6,H6,J6))</f>
        <v/>
      </c>
      <c r="M6" s="2">
        <f>MIN(G6,I6,K6)</f>
        <v/>
      </c>
      <c r="N6" s="2">
        <f>D6*M6</f>
        <v/>
      </c>
      <c r="O6" s="2">
        <f>IF(ISBLANK(E6),0,D6*E6)</f>
        <v/>
      </c>
      <c r="P6" s="3">
        <f>IF(O6=0,0,(O6-N6)/O6)</f>
        <v/>
      </c>
      <c r="Q6" t="n">
        <v>80</v>
      </c>
      <c r="R6" t="inlineStr">
        <is>
          <t>CUSTOMER</t>
        </is>
      </c>
      <c r="S6" t="inlineStr">
        <is>
          <t>DR_NAS</t>
        </is>
      </c>
    </row>
    <row r="7">
      <c r="A7" t="inlineStr">
        <is>
          <t>L1902</t>
        </is>
      </c>
      <c r="B7" t="inlineStr">
        <is>
          <t>OR03</t>
        </is>
      </c>
      <c r="C7" t="inlineStr">
        <is>
          <t>ANKLE ORTHOSIS, ANKLE GAUNTLET OR SIMILAR, WITH OR WITHOUT JOINTS, PREFABRICATED, OFF-THE-SHELF</t>
        </is>
      </c>
      <c r="D7" t="n">
        <v>20</v>
      </c>
      <c r="E7" s="2" t="n">
        <v>117.69</v>
      </c>
      <c r="G7" s="2" t="inlineStr"/>
      <c r="I7" s="2" t="inlineStr"/>
      <c r="K7" s="2" t="inlineStr"/>
      <c r="L7">
        <f>IF(M7=G7,F7,IF(M7=I7,H7,J7))</f>
        <v/>
      </c>
      <c r="M7" s="2">
        <f>MIN(G7,I7,K7)</f>
        <v/>
      </c>
      <c r="N7" s="2">
        <f>D7*M7</f>
        <v/>
      </c>
      <c r="O7" s="2">
        <f>IF(ISBLANK(E7),0,D7*E7)</f>
        <v/>
      </c>
      <c r="P7" s="3">
        <f>IF(O7=0,0,(O7-N7)/O7)</f>
        <v/>
      </c>
      <c r="Q7" t="n">
        <v>80</v>
      </c>
      <c r="R7" t="inlineStr">
        <is>
          <t>CUSTOMER</t>
        </is>
      </c>
      <c r="S7" t="inlineStr">
        <is>
          <t>DR_NAS</t>
        </is>
      </c>
    </row>
    <row r="8">
      <c r="A8" t="inlineStr">
        <is>
          <t>L4350</t>
        </is>
      </c>
      <c r="B8" t="inlineStr">
        <is>
          <t>OR03</t>
        </is>
      </c>
      <c r="C8" t="inlineStr">
        <is>
          <t>Ankle control orthosis, stirrup style</t>
        </is>
      </c>
      <c r="D8" t="n">
        <v>2</v>
      </c>
      <c r="E8" s="2" t="n">
        <v>103.88</v>
      </c>
      <c r="G8" s="2" t="inlineStr"/>
      <c r="I8" s="2" t="inlineStr"/>
      <c r="K8" s="2" t="inlineStr"/>
      <c r="L8">
        <f>IF(M8=G8,F8,IF(M8=I8,H8,J8))</f>
        <v/>
      </c>
      <c r="M8" s="2">
        <f>MIN(G8,I8,K8)</f>
        <v/>
      </c>
      <c r="N8" s="2">
        <f>D8*M8</f>
        <v/>
      </c>
      <c r="O8" s="2">
        <f>IF(ISBLANK(E8),0,D8*E8)</f>
        <v/>
      </c>
      <c r="P8" s="3">
        <f>IF(O8=0,0,(O8-N8)/O8)</f>
        <v/>
      </c>
      <c r="Q8" t="n">
        <v>80</v>
      </c>
      <c r="R8" t="inlineStr">
        <is>
          <t>CUSTOMER</t>
        </is>
      </c>
      <c r="S8" t="inlineStr">
        <is>
          <t>DR_NAS</t>
        </is>
      </c>
    </row>
    <row r="9">
      <c r="A9" t="inlineStr">
        <is>
          <t>E2103</t>
        </is>
      </c>
      <c r="B9" t="inlineStr">
        <is>
          <t>DM06</t>
        </is>
      </c>
      <c r="C9" t="inlineStr">
        <is>
          <t>Freestyle Libre CGM Reader</t>
        </is>
      </c>
      <c r="D9" t="n">
        <v>5</v>
      </c>
      <c r="E9" s="2" t="n">
        <v>327.88</v>
      </c>
      <c r="G9" s="2" t="inlineStr"/>
      <c r="I9" s="2" t="inlineStr"/>
      <c r="K9" s="2" t="inlineStr"/>
      <c r="L9">
        <f>IF(M9=G9,F9,IF(M9=I9,H9,J9))</f>
        <v/>
      </c>
      <c r="M9" s="2">
        <f>MIN(G9,I9,K9)</f>
        <v/>
      </c>
      <c r="N9" s="2">
        <f>D9*M9</f>
        <v/>
      </c>
      <c r="O9" s="2">
        <f>IF(ISBLANK(E9),0,D9*E9)</f>
        <v/>
      </c>
      <c r="P9" s="3">
        <f>IF(O9=0,0,(O9-N9)/O9)</f>
        <v/>
      </c>
      <c r="Q9" t="n">
        <v>70</v>
      </c>
      <c r="R9" t="inlineStr">
        <is>
          <t>CUSTOMER</t>
        </is>
      </c>
      <c r="S9" t="inlineStr">
        <is>
          <t>MOYHINOR (CGM_STRATEGY)</t>
        </is>
      </c>
    </row>
    <row r="10">
      <c r="A10" t="inlineStr">
        <is>
          <t>E2103</t>
        </is>
      </c>
      <c r="B10" t="inlineStr">
        <is>
          <t>DM06</t>
        </is>
      </c>
      <c r="C10" t="inlineStr">
        <is>
          <t>Dexcom G7 CGM Receiver</t>
        </is>
      </c>
      <c r="D10" t="n">
        <v>5</v>
      </c>
      <c r="E10" s="2" t="n">
        <v>327.88</v>
      </c>
      <c r="G10" s="2" t="inlineStr"/>
      <c r="I10" s="2" t="inlineStr"/>
      <c r="K10" s="2" t="inlineStr"/>
      <c r="L10">
        <f>IF(M10=G10,F10,IF(M10=I10,H10,J10))</f>
        <v/>
      </c>
      <c r="M10" s="2">
        <f>MIN(G10,I10,K10)</f>
        <v/>
      </c>
      <c r="N10" s="2">
        <f>D10*M10</f>
        <v/>
      </c>
      <c r="O10" s="2">
        <f>IF(ISBLANK(E10),0,D10*E10)</f>
        <v/>
      </c>
      <c r="P10" s="3">
        <f>IF(O10=0,0,(O10-N10)/O10)</f>
        <v/>
      </c>
      <c r="Q10" t="n">
        <v>70</v>
      </c>
      <c r="R10" t="inlineStr">
        <is>
          <t>CUSTOMER</t>
        </is>
      </c>
      <c r="S10" t="inlineStr">
        <is>
          <t>MOYHINOR (CGM_STRATEGY)</t>
        </is>
      </c>
    </row>
    <row r="11">
      <c r="A11" t="inlineStr">
        <is>
          <t>E0130</t>
        </is>
      </c>
      <c r="B11" t="inlineStr">
        <is>
          <t>M05</t>
        </is>
      </c>
      <c r="C11" t="inlineStr">
        <is>
          <t>WALKER, RIGID (PICKUP), ADJUSTABLE OR FIXED HEIGHT</t>
        </is>
      </c>
      <c r="D11" t="n">
        <v>5</v>
      </c>
      <c r="E11" s="2" t="n">
        <v>53.39</v>
      </c>
      <c r="G11" s="2" t="inlineStr"/>
      <c r="I11" s="2" t="inlineStr"/>
      <c r="K11" s="2" t="inlineStr"/>
      <c r="L11">
        <f>IF(M11=G11,F11,IF(M11=I11,H11,J11))</f>
        <v/>
      </c>
      <c r="M11" s="2">
        <f>MIN(G11,I11,K11)</f>
        <v/>
      </c>
      <c r="N11" s="2">
        <f>D11*M11</f>
        <v/>
      </c>
      <c r="O11" s="2">
        <f>IF(ISBLANK(E11),0,D11*E11)</f>
        <v/>
      </c>
      <c r="P11" s="3">
        <f>IF(O11=0,0,(O11-N11)/O11)</f>
        <v/>
      </c>
      <c r="Q11" t="n">
        <v>70</v>
      </c>
      <c r="R11" t="inlineStr">
        <is>
          <t>CUSTOMER</t>
        </is>
      </c>
      <c r="S11" t="inlineStr">
        <is>
          <t>RAMBOM</t>
        </is>
      </c>
    </row>
    <row r="12">
      <c r="A12" t="inlineStr">
        <is>
          <t>E0143</t>
        </is>
      </c>
      <c r="B12" t="inlineStr">
        <is>
          <t>M05</t>
        </is>
      </c>
      <c r="C12" t="inlineStr">
        <is>
          <t>WALKER, FOLDING, WHEELED, ADJUSTABLE OR FIXED HEIGHT</t>
        </is>
      </c>
      <c r="D12" t="n">
        <v>3</v>
      </c>
      <c r="E12" s="2" t="n">
        <v>54.75</v>
      </c>
      <c r="G12" s="2" t="inlineStr"/>
      <c r="I12" s="2" t="inlineStr"/>
      <c r="K12" s="2" t="inlineStr"/>
      <c r="L12">
        <f>IF(M12=G12,F12,IF(M12=I12,H12,J12))</f>
        <v/>
      </c>
      <c r="M12" s="2">
        <f>MIN(G12,I12,K12)</f>
        <v/>
      </c>
      <c r="N12" s="2">
        <f>D12*M12</f>
        <v/>
      </c>
      <c r="O12" s="2">
        <f>IF(ISBLANK(E12),0,D12*E12)</f>
        <v/>
      </c>
      <c r="P12" s="3">
        <f>IF(O12=0,0,(O12-N12)/O12)</f>
        <v/>
      </c>
      <c r="Q12" t="n">
        <v>70</v>
      </c>
      <c r="R12" t="inlineStr">
        <is>
          <t>CUSTOMER</t>
        </is>
      </c>
      <c r="S12" t="inlineStr">
        <is>
          <t>RAMBOM</t>
        </is>
      </c>
    </row>
    <row r="13">
      <c r="A13" t="inlineStr">
        <is>
          <t>A4239</t>
        </is>
      </c>
      <c r="B13" t="inlineStr">
        <is>
          <t>DM06</t>
        </is>
      </c>
      <c r="C13" t="inlineStr">
        <is>
          <t>Freestyle Libre CGM Sensors, 30-day</t>
        </is>
      </c>
      <c r="D13" t="n">
        <v>10</v>
      </c>
      <c r="E13" s="2" t="n">
        <v>267.92</v>
      </c>
      <c r="G13" s="2" t="inlineStr"/>
      <c r="I13" s="2" t="inlineStr"/>
      <c r="K13" s="2" t="inlineStr"/>
      <c r="L13">
        <f>IF(M13=G13,F13,IF(M13=I13,H13,J13))</f>
        <v/>
      </c>
      <c r="M13" s="2">
        <f>MIN(G13,I13,K13)</f>
        <v/>
      </c>
      <c r="N13" s="2">
        <f>D13*M13</f>
        <v/>
      </c>
      <c r="O13" s="2">
        <f>IF(ISBLANK(E13),0,D13*E13)</f>
        <v/>
      </c>
      <c r="P13" s="3">
        <f>IF(O13=0,0,(O13-N13)/O13)</f>
        <v/>
      </c>
      <c r="Q13" t="n">
        <v>70</v>
      </c>
      <c r="R13" t="inlineStr">
        <is>
          <t>CUSTOMER</t>
        </is>
      </c>
      <c r="S13" t="inlineStr">
        <is>
          <t>MOYHINOR (CGM_STRATEGY)</t>
        </is>
      </c>
    </row>
    <row r="14">
      <c r="A14" t="inlineStr">
        <is>
          <t>A4239</t>
        </is>
      </c>
      <c r="B14" t="inlineStr">
        <is>
          <t>DM06</t>
        </is>
      </c>
      <c r="C14" t="inlineStr">
        <is>
          <t>Dexcom G7 CGM Sensors, 30-day</t>
        </is>
      </c>
      <c r="D14" t="n">
        <v>10</v>
      </c>
      <c r="E14" s="2" t="n">
        <v>267.92</v>
      </c>
      <c r="G14" s="2" t="inlineStr"/>
      <c r="I14" s="2" t="inlineStr"/>
      <c r="K14" s="2" t="inlineStr"/>
      <c r="L14">
        <f>IF(M14=G14,F14,IF(M14=I14,H14,J14))</f>
        <v/>
      </c>
      <c r="M14" s="2">
        <f>MIN(G14,I14,K14)</f>
        <v/>
      </c>
      <c r="N14" s="2">
        <f>D14*M14</f>
        <v/>
      </c>
      <c r="O14" s="2">
        <f>IF(ISBLANK(E14),0,D14*E14)</f>
        <v/>
      </c>
      <c r="P14" s="3">
        <f>IF(O14=0,0,(O14-N14)/O14)</f>
        <v/>
      </c>
      <c r="Q14" t="n">
        <v>70</v>
      </c>
      <c r="R14" t="inlineStr">
        <is>
          <t>CUSTOMER</t>
        </is>
      </c>
      <c r="S14" t="inlineStr">
        <is>
          <t>MOYHINOR (CGM_STRATEGY)</t>
        </is>
      </c>
    </row>
    <row r="15">
      <c r="A15" t="inlineStr">
        <is>
          <t>A4253</t>
        </is>
      </c>
      <c r="B15" t="inlineStr">
        <is>
          <t>DM06</t>
        </is>
      </c>
      <c r="C15" t="inlineStr">
        <is>
          <t>BLOOD GLUCOSE TEST OR REAGENT STRIPS FOR HOME BLOOD GLUCOSE MONITOR, PER 50 STRIPS</t>
        </is>
      </c>
      <c r="D15" t="n">
        <v>1500</v>
      </c>
      <c r="E15" s="2" t="n">
        <v>8.32</v>
      </c>
      <c r="G15" s="2" t="inlineStr"/>
      <c r="I15" s="2" t="inlineStr"/>
      <c r="K15" s="2" t="inlineStr"/>
      <c r="L15">
        <f>IF(M15=G15,F15,IF(M15=I15,H15,J15))</f>
        <v/>
      </c>
      <c r="M15" s="2">
        <f>MIN(G15,I15,K15)</f>
        <v/>
      </c>
      <c r="N15" s="2">
        <f>D15*M15</f>
        <v/>
      </c>
      <c r="O15" s="2">
        <f>IF(ISBLANK(E15),0,D15*E15)</f>
        <v/>
      </c>
      <c r="P15" s="3">
        <f>IF(O15=0,0,(O15-N15)/O15)</f>
        <v/>
      </c>
      <c r="Q15" t="n">
        <v>70</v>
      </c>
      <c r="R15" t="inlineStr">
        <is>
          <t>CUSTOMER</t>
        </is>
      </c>
      <c r="S15" t="inlineStr">
        <is>
          <t>WALTERS</t>
        </is>
      </c>
    </row>
    <row r="16">
      <c r="A16" t="inlineStr">
        <is>
          <t>K0001</t>
        </is>
      </c>
      <c r="B16" t="inlineStr">
        <is>
          <t>M06</t>
        </is>
      </c>
      <c r="C16" t="inlineStr">
        <is>
          <t>STANDARD WHEELCHAIR</t>
        </is>
      </c>
      <c r="D16" t="n">
        <v>2</v>
      </c>
      <c r="E16" s="2" t="n">
        <v>23.1</v>
      </c>
      <c r="G16" s="2" t="inlineStr"/>
      <c r="I16" s="2" t="inlineStr"/>
      <c r="K16" s="2" t="inlineStr"/>
      <c r="L16">
        <f>IF(M16=G16,F16,IF(M16=I16,H16,J16))</f>
        <v/>
      </c>
      <c r="M16" s="2">
        <f>MIN(G16,I16,K16)</f>
        <v/>
      </c>
      <c r="N16" s="2">
        <f>D16*M16</f>
        <v/>
      </c>
      <c r="O16" s="2">
        <f>IF(ISBLANK(E16),0,D16*E16)</f>
        <v/>
      </c>
      <c r="P16" s="3">
        <f>IF(O16=0,0,(O16-N16)/O16)</f>
        <v/>
      </c>
      <c r="Q16" t="n">
        <v>70</v>
      </c>
      <c r="R16" t="inlineStr">
        <is>
          <t>CUSTOMER</t>
        </is>
      </c>
      <c r="S16" t="inlineStr">
        <is>
          <t>MOYHINOR</t>
        </is>
      </c>
    </row>
    <row r="17">
      <c r="A17" t="inlineStr">
        <is>
          <t>A4259</t>
        </is>
      </c>
      <c r="B17" t="inlineStr">
        <is>
          <t>DM06</t>
        </is>
      </c>
      <c r="C17" t="inlineStr">
        <is>
          <t>LANCETS, PER BOX OF 100</t>
        </is>
      </c>
      <c r="D17" t="n">
        <v>1000</v>
      </c>
      <c r="E17" s="2" t="n">
        <v>1.42</v>
      </c>
      <c r="G17" s="2" t="inlineStr"/>
      <c r="I17" s="2" t="inlineStr"/>
      <c r="K17" s="2" t="inlineStr"/>
      <c r="L17">
        <f>IF(M17=G17,F17,IF(M17=I17,H17,J17))</f>
        <v/>
      </c>
      <c r="M17" s="2">
        <f>MIN(G17,I17,K17)</f>
        <v/>
      </c>
      <c r="N17" s="2">
        <f>D17*M17</f>
        <v/>
      </c>
      <c r="O17" s="2">
        <f>IF(ISBLANK(E17),0,D17*E17)</f>
        <v/>
      </c>
      <c r="P17" s="3">
        <f>IF(O17=0,0,(O17-N17)/O17)</f>
        <v/>
      </c>
      <c r="Q17" t="n">
        <v>70</v>
      </c>
      <c r="R17" t="inlineStr">
        <is>
          <t>CUSTOMER</t>
        </is>
      </c>
      <c r="S17" t="inlineStr">
        <is>
          <t>WALTERS</t>
        </is>
      </c>
    </row>
    <row r="18">
      <c r="A18" t="inlineStr">
        <is>
          <t>K0015</t>
        </is>
      </c>
      <c r="B18" t="inlineStr">
        <is>
          <t>M06A</t>
        </is>
      </c>
      <c r="C18" t="inlineStr">
        <is>
          <t>DETACHABLE, NON-ADJUSTABLE HEIGHT ARMREST, REPLACEMENT ONLY, EACH</t>
        </is>
      </c>
      <c r="D18" t="n">
        <v>3</v>
      </c>
      <c r="E18" s="2" t="n">
        <v>13.49</v>
      </c>
      <c r="G18" s="2" t="inlineStr"/>
      <c r="I18" s="2" t="inlineStr"/>
      <c r="K18" s="2" t="inlineStr"/>
      <c r="L18">
        <f>IF(M18=G18,F18,IF(M18=I18,H18,J18))</f>
        <v/>
      </c>
      <c r="M18" s="2">
        <f>MIN(G18,I18,K18)</f>
        <v/>
      </c>
      <c r="N18" s="2">
        <f>D18*M18</f>
        <v/>
      </c>
      <c r="O18" s="2">
        <f>IF(ISBLANK(E18),0,D18*E18)</f>
        <v/>
      </c>
      <c r="P18" s="3">
        <f>IF(O18=0,0,(O18-N18)/O18)</f>
        <v/>
      </c>
      <c r="Q18" t="n">
        <v>60</v>
      </c>
      <c r="R18" t="inlineStr">
        <is>
          <t>LAUNCH_INVENTORY</t>
        </is>
      </c>
      <c r="S18" t="inlineStr"/>
    </row>
    <row r="19">
      <c r="A19" t="inlineStr">
        <is>
          <t>A6533</t>
        </is>
      </c>
      <c r="B19" t="inlineStr">
        <is>
          <t>S01</t>
        </is>
      </c>
      <c r="C19" t="inlineStr">
        <is>
          <t>GRADIENT COMPRESSION STOCKING, THIGH LENGTH, 18-30 MMHG, EACH</t>
        </is>
      </c>
      <c r="D19" t="n">
        <v>3</v>
      </c>
      <c r="E19" s="2" t="n">
        <v>53.42</v>
      </c>
      <c r="G19" s="2" t="inlineStr"/>
      <c r="I19" s="2" t="inlineStr"/>
      <c r="K19" s="2" t="inlineStr"/>
      <c r="L19">
        <f>IF(M19=G19,F19,IF(M19=I19,H19,J19))</f>
        <v/>
      </c>
      <c r="M19" s="2">
        <f>MIN(G19,I19,K19)</f>
        <v/>
      </c>
      <c r="N19" s="2">
        <f>D19*M19</f>
        <v/>
      </c>
      <c r="O19" s="2">
        <f>IF(ISBLANK(E19),0,D19*E19)</f>
        <v/>
      </c>
      <c r="P19" s="3">
        <f>IF(O19=0,0,(O19-N19)/O19)</f>
        <v/>
      </c>
      <c r="Q19" t="n">
        <v>60</v>
      </c>
      <c r="R19" t="inlineStr">
        <is>
          <t>LAUNCH_INVENTORY</t>
        </is>
      </c>
      <c r="S19" t="inlineStr"/>
    </row>
    <row r="20">
      <c r="A20" t="inlineStr">
        <is>
          <t>A6457</t>
        </is>
      </c>
      <c r="B20" t="inlineStr">
        <is>
          <t>S01</t>
        </is>
      </c>
      <c r="C20" t="inlineStr">
        <is>
          <t>TUBULAR DRESSING WITH OR WITHOUT ELASTIC, ANY WIDTH, PER LINEAR YARD</t>
        </is>
      </c>
      <c r="D20" t="n">
        <v>3</v>
      </c>
      <c r="E20" s="2" t="n">
        <v>1.59</v>
      </c>
      <c r="G20" s="2" t="inlineStr"/>
      <c r="I20" s="2" t="inlineStr"/>
      <c r="K20" s="2" t="inlineStr"/>
      <c r="L20">
        <f>IF(M20=G20,F20,IF(M20=I20,H20,J20))</f>
        <v/>
      </c>
      <c r="M20" s="2">
        <f>MIN(G20,I20,K20)</f>
        <v/>
      </c>
      <c r="N20" s="2">
        <f>D20*M20</f>
        <v/>
      </c>
      <c r="O20" s="2">
        <f>IF(ISBLANK(E20),0,D20*E20)</f>
        <v/>
      </c>
      <c r="P20" s="3">
        <f>IF(O20=0,0,(O20-N20)/O20)</f>
        <v/>
      </c>
      <c r="Q20" t="n">
        <v>60</v>
      </c>
      <c r="R20" t="inlineStr">
        <is>
          <t>LAUNCH_INVENTORY</t>
        </is>
      </c>
      <c r="S20" t="inlineStr"/>
    </row>
    <row r="21">
      <c r="A21" t="inlineStr">
        <is>
          <t>A6531</t>
        </is>
      </c>
      <c r="B21" t="inlineStr">
        <is>
          <t>S01</t>
        </is>
      </c>
      <c r="C21" t="inlineStr">
        <is>
          <t>GRADIENT COMPRESSION STOCKING, BELOW KNEE, 30-40 MMHG, USED AS A SURGICAL DRESSING, EACH</t>
        </is>
      </c>
      <c r="D21" t="n">
        <v>3</v>
      </c>
      <c r="E21" s="2" t="n">
        <v>60.45</v>
      </c>
      <c r="G21" s="2" t="inlineStr"/>
      <c r="I21" s="2" t="inlineStr"/>
      <c r="K21" s="2" t="inlineStr"/>
      <c r="L21">
        <f>IF(M21=G21,F21,IF(M21=I21,H21,J21))</f>
        <v/>
      </c>
      <c r="M21" s="2">
        <f>MIN(G21,I21,K21)</f>
        <v/>
      </c>
      <c r="N21" s="2">
        <f>D21*M21</f>
        <v/>
      </c>
      <c r="O21" s="2">
        <f>IF(ISBLANK(E21),0,D21*E21)</f>
        <v/>
      </c>
      <c r="P21" s="3">
        <f>IF(O21=0,0,(O21-N21)/O21)</f>
        <v/>
      </c>
      <c r="Q21" t="n">
        <v>60</v>
      </c>
      <c r="R21" t="inlineStr">
        <is>
          <t>LAUNCH_INVENTORY</t>
        </is>
      </c>
      <c r="S21" t="inlineStr"/>
    </row>
    <row r="22">
      <c r="A22" t="inlineStr">
        <is>
          <t>A6530</t>
        </is>
      </c>
      <c r="B22" t="inlineStr">
        <is>
          <t>S01</t>
        </is>
      </c>
      <c r="C22" t="inlineStr">
        <is>
          <t>GRADIENT COMPRESSION STOCKING, BELOW KNEE, 18-30 MMHG, EACH</t>
        </is>
      </c>
      <c r="D22" t="n">
        <v>3</v>
      </c>
      <c r="E22" s="2" t="n">
        <v>38.04</v>
      </c>
      <c r="G22" s="2" t="inlineStr"/>
      <c r="I22" s="2" t="inlineStr"/>
      <c r="K22" s="2" t="inlineStr"/>
      <c r="L22">
        <f>IF(M22=G22,F22,IF(M22=I22,H22,J22))</f>
        <v/>
      </c>
      <c r="M22" s="2">
        <f>MIN(G22,I22,K22)</f>
        <v/>
      </c>
      <c r="N22" s="2">
        <f>D22*M22</f>
        <v/>
      </c>
      <c r="O22" s="2">
        <f>IF(ISBLANK(E22),0,D22*E22)</f>
        <v/>
      </c>
      <c r="P22" s="3">
        <f>IF(O22=0,0,(O22-N22)/O22)</f>
        <v/>
      </c>
      <c r="Q22" t="n">
        <v>60</v>
      </c>
      <c r="R22" t="inlineStr">
        <is>
          <t>LAUNCH_INVENTORY</t>
        </is>
      </c>
      <c r="S22" t="inlineStr"/>
    </row>
    <row r="23">
      <c r="A23" t="inlineStr">
        <is>
          <t>K0020</t>
        </is>
      </c>
      <c r="B23" t="inlineStr">
        <is>
          <t>M06A</t>
        </is>
      </c>
      <c r="C23" t="inlineStr">
        <is>
          <t>FIXED, ADJUSTABLE HEIGHT ARMREST, PAIR</t>
        </is>
      </c>
      <c r="D23" t="n">
        <v>3</v>
      </c>
      <c r="E23" s="2" t="n">
        <v>55.95</v>
      </c>
      <c r="G23" s="2" t="inlineStr"/>
      <c r="I23" s="2" t="inlineStr"/>
      <c r="K23" s="2" t="inlineStr"/>
      <c r="L23">
        <f>IF(M23=G23,F23,IF(M23=I23,H23,J23))</f>
        <v/>
      </c>
      <c r="M23" s="2">
        <f>MIN(G23,I23,K23)</f>
        <v/>
      </c>
      <c r="N23" s="2">
        <f>D23*M23</f>
        <v/>
      </c>
      <c r="O23" s="2">
        <f>IF(ISBLANK(E23),0,D23*E23)</f>
        <v/>
      </c>
      <c r="P23" s="3">
        <f>IF(O23=0,0,(O23-N23)/O23)</f>
        <v/>
      </c>
      <c r="Q23" t="n">
        <v>60</v>
      </c>
      <c r="R23" t="inlineStr">
        <is>
          <t>LAUNCH_INVENTORY</t>
        </is>
      </c>
      <c r="S23" t="inlineStr"/>
    </row>
    <row r="24">
      <c r="A24" t="inlineStr">
        <is>
          <t>E2216</t>
        </is>
      </c>
      <c r="B24" t="inlineStr">
        <is>
          <t>M06A</t>
        </is>
      </c>
      <c r="C24" t="inlineStr">
        <is>
          <t>MANUAL WHEELCHAIR ACCESSORY, FOAM FILLED PROPULSION TIRE, ANY SIZE, EACH</t>
        </is>
      </c>
      <c r="D24" t="n">
        <v>3</v>
      </c>
      <c r="E24" s="2" t="n">
        <v>51</v>
      </c>
      <c r="G24" s="2" t="inlineStr"/>
      <c r="I24" s="2" t="inlineStr"/>
      <c r="K24" s="2" t="inlineStr"/>
      <c r="L24">
        <f>IF(M24=G24,F24,IF(M24=I24,H24,J24))</f>
        <v/>
      </c>
      <c r="M24" s="2">
        <f>MIN(G24,I24,K24)</f>
        <v/>
      </c>
      <c r="N24" s="2">
        <f>D24*M24</f>
        <v/>
      </c>
      <c r="O24" s="2">
        <f>IF(ISBLANK(E24),0,D24*E24)</f>
        <v/>
      </c>
      <c r="P24" s="3">
        <f>IF(O24=0,0,(O24-N24)/O24)</f>
        <v/>
      </c>
      <c r="Q24" t="n">
        <v>60</v>
      </c>
      <c r="R24" t="inlineStr">
        <is>
          <t>LAUNCH_INVENTORY</t>
        </is>
      </c>
      <c r="S24" t="inlineStr"/>
    </row>
    <row r="25">
      <c r="A25" t="inlineStr">
        <is>
          <t>E2215</t>
        </is>
      </c>
      <c r="B25" t="inlineStr">
        <is>
          <t>M06A</t>
        </is>
      </c>
      <c r="C25" t="inlineStr">
        <is>
          <t>MANUAL WHEELCHAIR ACCESSORY, TUBE FOR PNEUMATIC CASTER TIRE, ANY SIZE, EACH</t>
        </is>
      </c>
      <c r="D25" t="n">
        <v>3</v>
      </c>
      <c r="E25" s="2" t="n">
        <v>11.25</v>
      </c>
      <c r="G25" s="2" t="inlineStr"/>
      <c r="I25" s="2" t="inlineStr"/>
      <c r="K25" s="2" t="inlineStr"/>
      <c r="L25">
        <f>IF(M25=G25,F25,IF(M25=I25,H25,J25))</f>
        <v/>
      </c>
      <c r="M25" s="2">
        <f>MIN(G25,I25,K25)</f>
        <v/>
      </c>
      <c r="N25" s="2">
        <f>D25*M25</f>
        <v/>
      </c>
      <c r="O25" s="2">
        <f>IF(ISBLANK(E25),0,D25*E25)</f>
        <v/>
      </c>
      <c r="P25" s="3">
        <f>IF(O25=0,0,(O25-N25)/O25)</f>
        <v/>
      </c>
      <c r="Q25" t="n">
        <v>60</v>
      </c>
      <c r="R25" t="inlineStr">
        <is>
          <t>LAUNCH_INVENTORY</t>
        </is>
      </c>
      <c r="S25" t="inlineStr"/>
    </row>
    <row r="26">
      <c r="A26" t="inlineStr">
        <is>
          <t>K0195</t>
        </is>
      </c>
      <c r="B26" t="inlineStr">
        <is>
          <t>M06A</t>
        </is>
      </c>
      <c r="C26" t="inlineStr">
        <is>
          <t>ELEVATING LEG RESTS, PAIR (FOR USE WITH CAPPED RENTAL WHEELCHAIR BASE)</t>
        </is>
      </c>
      <c r="D26" t="n">
        <v>3</v>
      </c>
      <c r="E26" s="2" t="n">
        <v>10.5</v>
      </c>
      <c r="G26" s="2" t="inlineStr"/>
      <c r="I26" s="2" t="inlineStr"/>
      <c r="K26" s="2" t="inlineStr"/>
      <c r="L26">
        <f>IF(M26=G26,F26,IF(M26=I26,H26,J26))</f>
        <v/>
      </c>
      <c r="M26" s="2">
        <f>MIN(G26,I26,K26)</f>
        <v/>
      </c>
      <c r="N26" s="2">
        <f>D26*M26</f>
        <v/>
      </c>
      <c r="O26" s="2">
        <f>IF(ISBLANK(E26),0,D26*E26)</f>
        <v/>
      </c>
      <c r="P26" s="3">
        <f>IF(O26=0,0,(O26-N26)/O26)</f>
        <v/>
      </c>
      <c r="Q26" t="n">
        <v>60</v>
      </c>
      <c r="R26" t="inlineStr">
        <is>
          <t>LAUNCH_INVENTORY</t>
        </is>
      </c>
      <c r="S26" t="inlineStr"/>
    </row>
    <row r="27">
      <c r="A27" t="inlineStr">
        <is>
          <t>E2219</t>
        </is>
      </c>
      <c r="B27" t="inlineStr">
        <is>
          <t>M06A</t>
        </is>
      </c>
      <c r="C27" t="inlineStr">
        <is>
          <t>MANUAL WHEELCHAIR ACCESSORY, FOAM CASTER TIRE, ANY SIZE, EACH</t>
        </is>
      </c>
      <c r="D27" t="n">
        <v>3</v>
      </c>
      <c r="E27" s="2" t="n">
        <v>39.97</v>
      </c>
      <c r="G27" s="2" t="inlineStr"/>
      <c r="I27" s="2" t="inlineStr"/>
      <c r="K27" s="2" t="inlineStr"/>
      <c r="L27">
        <f>IF(M27=G27,F27,IF(M27=I27,H27,J27))</f>
        <v/>
      </c>
      <c r="M27" s="2">
        <f>MIN(G27,I27,K27)</f>
        <v/>
      </c>
      <c r="N27" s="2">
        <f>D27*M27</f>
        <v/>
      </c>
      <c r="O27" s="2">
        <f>IF(ISBLANK(E27),0,D27*E27)</f>
        <v/>
      </c>
      <c r="P27" s="3">
        <f>IF(O27=0,0,(O27-N27)/O27)</f>
        <v/>
      </c>
      <c r="Q27" t="n">
        <v>60</v>
      </c>
      <c r="R27" t="inlineStr">
        <is>
          <t>LAUNCH_INVENTORY</t>
        </is>
      </c>
      <c r="S27" t="inlineStr"/>
    </row>
    <row r="28">
      <c r="A28" t="inlineStr">
        <is>
          <t>E2214</t>
        </is>
      </c>
      <c r="B28" t="inlineStr">
        <is>
          <t>M06A</t>
        </is>
      </c>
      <c r="C28" t="inlineStr">
        <is>
          <t>MANUAL WHEELCHAIR ACCESSORY, PNEUMATIC CASTER TIRE, ANY SIZE, EACH</t>
        </is>
      </c>
      <c r="D28" t="n">
        <v>3</v>
      </c>
      <c r="E28" s="2" t="n">
        <v>32.46</v>
      </c>
      <c r="G28" s="2" t="inlineStr"/>
      <c r="I28" s="2" t="inlineStr"/>
      <c r="K28" s="2" t="inlineStr"/>
      <c r="L28">
        <f>IF(M28=G28,F28,IF(M28=I28,H28,J28))</f>
        <v/>
      </c>
      <c r="M28" s="2">
        <f>MIN(G28,I28,K28)</f>
        <v/>
      </c>
      <c r="N28" s="2">
        <f>D28*M28</f>
        <v/>
      </c>
      <c r="O28" s="2">
        <f>IF(ISBLANK(E28),0,D28*E28)</f>
        <v/>
      </c>
      <c r="P28" s="3">
        <f>IF(O28=0,0,(O28-N28)/O28)</f>
        <v/>
      </c>
      <c r="Q28" t="n">
        <v>60</v>
      </c>
      <c r="R28" t="inlineStr">
        <is>
          <t>LAUNCH_INVENTORY</t>
        </is>
      </c>
      <c r="S28" t="inlineStr"/>
    </row>
    <row r="29">
      <c r="A29" t="inlineStr">
        <is>
          <t>E2213</t>
        </is>
      </c>
      <c r="B29" t="inlineStr">
        <is>
          <t>M06A</t>
        </is>
      </c>
      <c r="C29" t="inlineStr">
        <is>
          <t>MANUAL WHEELCHAIR ACCESSORY, INSERT FOR PNEUMATIC PROPULSION TIRE (REMOVABLE), ANY TYPE, ANY SIZE, EACH</t>
        </is>
      </c>
      <c r="D29" t="n">
        <v>3</v>
      </c>
      <c r="E29" s="2" t="n">
        <v>31.23</v>
      </c>
      <c r="G29" s="2" t="inlineStr"/>
      <c r="I29" s="2" t="inlineStr"/>
      <c r="K29" s="2" t="inlineStr"/>
      <c r="L29">
        <f>IF(M29=G29,F29,IF(M29=I29,H29,J29))</f>
        <v/>
      </c>
      <c r="M29" s="2">
        <f>MIN(G29,I29,K29)</f>
        <v/>
      </c>
      <c r="N29" s="2">
        <f>D29*M29</f>
        <v/>
      </c>
      <c r="O29" s="2">
        <f>IF(ISBLANK(E29),0,D29*E29)</f>
        <v/>
      </c>
      <c r="P29" s="3">
        <f>IF(O29=0,0,(O29-N29)/O29)</f>
        <v/>
      </c>
      <c r="Q29" t="n">
        <v>60</v>
      </c>
      <c r="R29" t="inlineStr">
        <is>
          <t>LAUNCH_INVENTORY</t>
        </is>
      </c>
      <c r="S29" t="inlineStr"/>
    </row>
    <row r="30">
      <c r="A30" t="inlineStr">
        <is>
          <t>E0953</t>
        </is>
      </c>
      <c r="B30" t="inlineStr">
        <is>
          <t>M06A</t>
        </is>
      </c>
      <c r="C30" t="inlineStr">
        <is>
          <t>WHEELCHAIR ACCESSORY, LATERAL THIGH OR KNEE SUPPORT, ANY TYPE INCLUDING FIXED MOUNTING HARDWARE, EACH</t>
        </is>
      </c>
      <c r="D30" t="n">
        <v>3</v>
      </c>
      <c r="E30" s="2" t="n">
        <v>87.14</v>
      </c>
      <c r="G30" s="2" t="inlineStr"/>
      <c r="I30" s="2" t="inlineStr"/>
      <c r="K30" s="2" t="inlineStr"/>
      <c r="L30">
        <f>IF(M30=G30,F30,IF(M30=I30,H30,J30))</f>
        <v/>
      </c>
      <c r="M30" s="2">
        <f>MIN(G30,I30,K30)</f>
        <v/>
      </c>
      <c r="N30" s="2">
        <f>D30*M30</f>
        <v/>
      </c>
      <c r="O30" s="2">
        <f>IF(ISBLANK(E30),0,D30*E30)</f>
        <v/>
      </c>
      <c r="P30" s="3">
        <f>IF(O30=0,0,(O30-N30)/O30)</f>
        <v/>
      </c>
      <c r="Q30" t="n">
        <v>60</v>
      </c>
      <c r="R30" t="inlineStr">
        <is>
          <t>LAUNCH_INVENTORY</t>
        </is>
      </c>
      <c r="S30" t="inlineStr"/>
    </row>
    <row r="31">
      <c r="A31" t="inlineStr">
        <is>
          <t>E2226</t>
        </is>
      </c>
      <c r="B31" t="inlineStr">
        <is>
          <t>M06A</t>
        </is>
      </c>
      <c r="C31" t="inlineStr">
        <is>
          <t>MANUAL WHEELCHAIR ACCESSORY, CASTER FORK, ANY SIZE, REPLACEMENT ONLY, EACH</t>
        </is>
      </c>
      <c r="D31" t="n">
        <v>3</v>
      </c>
      <c r="E31" s="2" t="n">
        <v>42.47</v>
      </c>
      <c r="G31" s="2" t="inlineStr"/>
      <c r="I31" s="2" t="inlineStr"/>
      <c r="K31" s="2" t="inlineStr"/>
      <c r="L31">
        <f>IF(M31=G31,F31,IF(M31=I31,H31,J31))</f>
        <v/>
      </c>
      <c r="M31" s="2">
        <f>MIN(G31,I31,K31)</f>
        <v/>
      </c>
      <c r="N31" s="2">
        <f>D31*M31</f>
        <v/>
      </c>
      <c r="O31" s="2">
        <f>IF(ISBLANK(E31),0,D31*E31)</f>
        <v/>
      </c>
      <c r="P31" s="3">
        <f>IF(O31=0,0,(O31-N31)/O31)</f>
        <v/>
      </c>
      <c r="Q31" t="n">
        <v>60</v>
      </c>
      <c r="R31" t="inlineStr">
        <is>
          <t>LAUNCH_INVENTORY</t>
        </is>
      </c>
      <c r="S31" t="inlineStr"/>
    </row>
    <row r="32">
      <c r="A32" t="inlineStr">
        <is>
          <t>K0044</t>
        </is>
      </c>
      <c r="B32" t="inlineStr">
        <is>
          <t>M06A</t>
        </is>
      </c>
      <c r="C32" t="inlineStr">
        <is>
          <t>FOOTREST, UPPER HANGER BRACKET, REPLACEMENT ONLY, EACH</t>
        </is>
      </c>
      <c r="D32" t="n">
        <v>3</v>
      </c>
      <c r="E32" s="2" t="n">
        <v>20.04</v>
      </c>
      <c r="G32" s="2" t="inlineStr"/>
      <c r="I32" s="2" t="inlineStr"/>
      <c r="K32" s="2" t="inlineStr"/>
      <c r="L32">
        <f>IF(M32=G32,F32,IF(M32=I32,H32,J32))</f>
        <v/>
      </c>
      <c r="M32" s="2">
        <f>MIN(G32,I32,K32)</f>
        <v/>
      </c>
      <c r="N32" s="2">
        <f>D32*M32</f>
        <v/>
      </c>
      <c r="O32" s="2">
        <f>IF(ISBLANK(E32),0,D32*E32)</f>
        <v/>
      </c>
      <c r="P32" s="3">
        <f>IF(O32=0,0,(O32-N32)/O32)</f>
        <v/>
      </c>
      <c r="Q32" t="n">
        <v>60</v>
      </c>
      <c r="R32" t="inlineStr">
        <is>
          <t>LAUNCH_INVENTORY</t>
        </is>
      </c>
      <c r="S32" t="inlineStr"/>
    </row>
    <row r="33">
      <c r="A33" t="inlineStr">
        <is>
          <t>K0043</t>
        </is>
      </c>
      <c r="B33" t="inlineStr">
        <is>
          <t>M06A</t>
        </is>
      </c>
      <c r="C33" t="inlineStr">
        <is>
          <t>FOOTREST, LOWER EXTENSION TUBE, REPLACEMENT ONLY, EACH</t>
        </is>
      </c>
      <c r="D33" t="n">
        <v>3</v>
      </c>
      <c r="E33" s="2" t="n">
        <v>23.36</v>
      </c>
      <c r="G33" s="2" t="inlineStr"/>
      <c r="I33" s="2" t="inlineStr"/>
      <c r="K33" s="2" t="inlineStr"/>
      <c r="L33">
        <f>IF(M33=G33,F33,IF(M33=I33,H33,J33))</f>
        <v/>
      </c>
      <c r="M33" s="2">
        <f>MIN(G33,I33,K33)</f>
        <v/>
      </c>
      <c r="N33" s="2">
        <f>D33*M33</f>
        <v/>
      </c>
      <c r="O33" s="2">
        <f>IF(ISBLANK(E33),0,D33*E33)</f>
        <v/>
      </c>
      <c r="P33" s="3">
        <f>IF(O33=0,0,(O33-N33)/O33)</f>
        <v/>
      </c>
      <c r="Q33" t="n">
        <v>60</v>
      </c>
      <c r="R33" t="inlineStr">
        <is>
          <t>LAUNCH_INVENTORY</t>
        </is>
      </c>
      <c r="S33" t="inlineStr"/>
    </row>
    <row r="34">
      <c r="A34" t="inlineStr">
        <is>
          <t>K0042</t>
        </is>
      </c>
      <c r="B34" t="inlineStr">
        <is>
          <t>M06A</t>
        </is>
      </c>
      <c r="C34" t="inlineStr">
        <is>
          <t>STANDARD SIZE FOOTPLATE, REPLACEMENT ONLY, EACH</t>
        </is>
      </c>
      <c r="D34" t="n">
        <v>3</v>
      </c>
      <c r="E34" s="2" t="n">
        <v>37.84</v>
      </c>
      <c r="G34" s="2" t="inlineStr"/>
      <c r="I34" s="2" t="inlineStr"/>
      <c r="K34" s="2" t="inlineStr"/>
      <c r="L34">
        <f>IF(M34=G34,F34,IF(M34=I34,H34,J34))</f>
        <v/>
      </c>
      <c r="M34" s="2">
        <f>MIN(G34,I34,K34)</f>
        <v/>
      </c>
      <c r="N34" s="2">
        <f>D34*M34</f>
        <v/>
      </c>
      <c r="O34" s="2">
        <f>IF(ISBLANK(E34),0,D34*E34)</f>
        <v/>
      </c>
      <c r="P34" s="3">
        <f>IF(O34=0,0,(O34-N34)/O34)</f>
        <v/>
      </c>
      <c r="Q34" t="n">
        <v>60</v>
      </c>
      <c r="R34" t="inlineStr">
        <is>
          <t>LAUNCH_INVENTORY</t>
        </is>
      </c>
      <c r="S34" t="inlineStr"/>
    </row>
    <row r="35">
      <c r="A35" t="inlineStr">
        <is>
          <t>A6589</t>
        </is>
      </c>
      <c r="B35" t="inlineStr">
        <is>
          <t>S04</t>
        </is>
      </c>
      <c r="C35" t="inlineStr">
        <is>
          <t>GRADIENT PRESSURE WRAP WITH ADJUSTABLE STRAPS, BRA, EACH</t>
        </is>
      </c>
      <c r="D35" t="n">
        <v>3</v>
      </c>
      <c r="E35" s="2" t="n">
        <v>93.73999999999999</v>
      </c>
      <c r="G35" s="2" t="inlineStr"/>
      <c r="I35" s="2" t="inlineStr"/>
      <c r="K35" s="2" t="inlineStr"/>
      <c r="L35">
        <f>IF(M35=G35,F35,IF(M35=I35,H35,J35))</f>
        <v/>
      </c>
      <c r="M35" s="2">
        <f>MIN(G35,I35,K35)</f>
        <v/>
      </c>
      <c r="N35" s="2">
        <f>D35*M35</f>
        <v/>
      </c>
      <c r="O35" s="2">
        <f>IF(ISBLANK(E35),0,D35*E35)</f>
        <v/>
      </c>
      <c r="P35" s="3">
        <f>IF(O35=0,0,(O35-N35)/O35)</f>
        <v/>
      </c>
      <c r="Q35" t="n">
        <v>60</v>
      </c>
      <c r="R35" t="inlineStr">
        <is>
          <t>LAUNCH_INVENTORY</t>
        </is>
      </c>
      <c r="S35" t="inlineStr"/>
    </row>
    <row r="36">
      <c r="A36" t="inlineStr">
        <is>
          <t>A6588</t>
        </is>
      </c>
      <c r="B36" t="inlineStr">
        <is>
          <t>S04</t>
        </is>
      </c>
      <c r="C36" t="inlineStr">
        <is>
          <t>GRADIENT COMPRESSION WRAP WITH ADJUSTABLE STRAPS, ARM, EACH</t>
        </is>
      </c>
      <c r="D36" t="n">
        <v>3</v>
      </c>
      <c r="E36" s="2" t="n">
        <v>237.46</v>
      </c>
      <c r="G36" s="2" t="inlineStr"/>
      <c r="I36" s="2" t="inlineStr"/>
      <c r="K36" s="2" t="inlineStr"/>
      <c r="L36">
        <f>IF(M36=G36,F36,IF(M36=I36,H36,J36))</f>
        <v/>
      </c>
      <c r="M36" s="2">
        <f>MIN(G36,I36,K36)</f>
        <v/>
      </c>
      <c r="N36" s="2">
        <f>D36*M36</f>
        <v/>
      </c>
      <c r="O36" s="2">
        <f>IF(ISBLANK(E36),0,D36*E36)</f>
        <v/>
      </c>
      <c r="P36" s="3">
        <f>IF(O36=0,0,(O36-N36)/O36)</f>
        <v/>
      </c>
      <c r="Q36" t="n">
        <v>60</v>
      </c>
      <c r="R36" t="inlineStr">
        <is>
          <t>LAUNCH_INVENTORY</t>
        </is>
      </c>
      <c r="S36" t="inlineStr"/>
    </row>
    <row r="37">
      <c r="A37" t="inlineStr">
        <is>
          <t>A6587</t>
        </is>
      </c>
      <c r="B37" t="inlineStr">
        <is>
          <t>S04</t>
        </is>
      </c>
      <c r="C37" t="inlineStr">
        <is>
          <t>GRADIENT COMPRESSION WRAP WITH ADJUSTABLE STRAPS, FOOT, EACH</t>
        </is>
      </c>
      <c r="D37" t="n">
        <v>3</v>
      </c>
      <c r="E37" s="2" t="n">
        <v>71.25</v>
      </c>
      <c r="G37" s="2" t="inlineStr"/>
      <c r="I37" s="2" t="inlineStr"/>
      <c r="K37" s="2" t="inlineStr"/>
      <c r="L37">
        <f>IF(M37=G37,F37,IF(M37=I37,H37,J37))</f>
        <v/>
      </c>
      <c r="M37" s="2">
        <f>MIN(G37,I37,K37)</f>
        <v/>
      </c>
      <c r="N37" s="2">
        <f>D37*M37</f>
        <v/>
      </c>
      <c r="O37" s="2">
        <f>IF(ISBLANK(E37),0,D37*E37)</f>
        <v/>
      </c>
      <c r="P37" s="3">
        <f>IF(O37=0,0,(O37-N37)/O37)</f>
        <v/>
      </c>
      <c r="Q37" t="n">
        <v>60</v>
      </c>
      <c r="R37" t="inlineStr">
        <is>
          <t>LAUNCH_INVENTORY</t>
        </is>
      </c>
      <c r="S37" t="inlineStr"/>
    </row>
    <row r="38">
      <c r="A38" t="inlineStr">
        <is>
          <t>A4452</t>
        </is>
      </c>
      <c r="B38" t="inlineStr">
        <is>
          <t>S01</t>
        </is>
      </c>
      <c r="C38" t="inlineStr">
        <is>
          <t>TAPE, WATERPROOF, PER 18 SQUARE INCHES</t>
        </is>
      </c>
      <c r="D38" t="n">
        <v>3</v>
      </c>
      <c r="E38" s="2" t="n">
        <v>0.49</v>
      </c>
      <c r="G38" s="2" t="inlineStr"/>
      <c r="I38" s="2" t="inlineStr"/>
      <c r="K38" s="2" t="inlineStr"/>
      <c r="L38">
        <f>IF(M38=G38,F38,IF(M38=I38,H38,J38))</f>
        <v/>
      </c>
      <c r="M38" s="2">
        <f>MIN(G38,I38,K38)</f>
        <v/>
      </c>
      <c r="N38" s="2">
        <f>D38*M38</f>
        <v/>
      </c>
      <c r="O38" s="2">
        <f>IF(ISBLANK(E38),0,D38*E38)</f>
        <v/>
      </c>
      <c r="P38" s="3">
        <f>IF(O38=0,0,(O38-N38)/O38)</f>
        <v/>
      </c>
      <c r="Q38" t="n">
        <v>60</v>
      </c>
      <c r="R38" t="inlineStr">
        <is>
          <t>LAUNCH_INVENTORY</t>
        </is>
      </c>
      <c r="S38" t="inlineStr"/>
    </row>
    <row r="39">
      <c r="A39" t="inlineStr">
        <is>
          <t>A6022</t>
        </is>
      </c>
      <c r="B39" t="inlineStr">
        <is>
          <t>S01</t>
        </is>
      </c>
      <c r="C39" t="inlineStr">
        <is>
          <t>COLLAGEN DRESSING, STERILE, SIZE MORE THAN 16 SQ. IN. BUT LESS THAN OR EQUAL TO 48 SQ. IN., EACH</t>
        </is>
      </c>
      <c r="D39" t="n">
        <v>3</v>
      </c>
      <c r="E39" s="2" t="n">
        <v>29.38</v>
      </c>
      <c r="G39" s="2" t="inlineStr"/>
      <c r="I39" s="2" t="inlineStr"/>
      <c r="K39" s="2" t="inlineStr"/>
      <c r="L39">
        <f>IF(M39=G39,F39,IF(M39=I39,H39,J39))</f>
        <v/>
      </c>
      <c r="M39" s="2">
        <f>MIN(G39,I39,K39)</f>
        <v/>
      </c>
      <c r="N39" s="2">
        <f>D39*M39</f>
        <v/>
      </c>
      <c r="O39" s="2">
        <f>IF(ISBLANK(E39),0,D39*E39)</f>
        <v/>
      </c>
      <c r="P39" s="3">
        <f>IF(O39=0,0,(O39-N39)/O39)</f>
        <v/>
      </c>
      <c r="Q39" t="n">
        <v>60</v>
      </c>
      <c r="R39" t="inlineStr">
        <is>
          <t>LAUNCH_INVENTORY</t>
        </is>
      </c>
      <c r="S39" t="inlineStr"/>
    </row>
    <row r="40">
      <c r="A40" t="inlineStr">
        <is>
          <t>K0019</t>
        </is>
      </c>
      <c r="B40" t="inlineStr">
        <is>
          <t>M06A</t>
        </is>
      </c>
      <c r="C40" t="inlineStr">
        <is>
          <t>ARM PAD, REPLACEMENT ONLY, EACH</t>
        </is>
      </c>
      <c r="D40" t="n">
        <v>3</v>
      </c>
      <c r="E40" s="2" t="n">
        <v>17.48</v>
      </c>
      <c r="G40" s="2" t="inlineStr"/>
      <c r="I40" s="2" t="inlineStr"/>
      <c r="K40" s="2" t="inlineStr"/>
      <c r="L40">
        <f>IF(M40=G40,F40,IF(M40=I40,H40,J40))</f>
        <v/>
      </c>
      <c r="M40" s="2">
        <f>MIN(G40,I40,K40)</f>
        <v/>
      </c>
      <c r="N40" s="2">
        <f>D40*M40</f>
        <v/>
      </c>
      <c r="O40" s="2">
        <f>IF(ISBLANK(E40),0,D40*E40)</f>
        <v/>
      </c>
      <c r="P40" s="3">
        <f>IF(O40=0,0,(O40-N40)/O40)</f>
        <v/>
      </c>
      <c r="Q40" t="n">
        <v>60</v>
      </c>
      <c r="R40" t="inlineStr">
        <is>
          <t>LAUNCH_INVENTORY</t>
        </is>
      </c>
      <c r="S40" t="inlineStr"/>
    </row>
    <row r="41">
      <c r="A41" t="inlineStr">
        <is>
          <t>K0018</t>
        </is>
      </c>
      <c r="B41" t="inlineStr">
        <is>
          <t>M06A</t>
        </is>
      </c>
      <c r="C41" t="inlineStr">
        <is>
          <t>DETACHABLE, ADJUSTABLE HEIGHT ARMREST, UPPER PORTION, REPLACEMENT ONLY, EACH</t>
        </is>
      </c>
      <c r="D41" t="n">
        <v>3</v>
      </c>
      <c r="E41" s="2" t="n">
        <v>32.47</v>
      </c>
      <c r="G41" s="2" t="inlineStr"/>
      <c r="I41" s="2" t="inlineStr"/>
      <c r="K41" s="2" t="inlineStr"/>
      <c r="L41">
        <f>IF(M41=G41,F41,IF(M41=I41,H41,J41))</f>
        <v/>
      </c>
      <c r="M41" s="2">
        <f>MIN(G41,I41,K41)</f>
        <v/>
      </c>
      <c r="N41" s="2">
        <f>D41*M41</f>
        <v/>
      </c>
      <c r="O41" s="2">
        <f>IF(ISBLANK(E41),0,D41*E41)</f>
        <v/>
      </c>
      <c r="P41" s="3">
        <f>IF(O41=0,0,(O41-N41)/O41)</f>
        <v/>
      </c>
      <c r="Q41" t="n">
        <v>60</v>
      </c>
      <c r="R41" t="inlineStr">
        <is>
          <t>LAUNCH_INVENTORY</t>
        </is>
      </c>
      <c r="S41" t="inlineStr"/>
    </row>
    <row r="42">
      <c r="A42" t="inlineStr">
        <is>
          <t>K0017</t>
        </is>
      </c>
      <c r="B42" t="inlineStr">
        <is>
          <t>M06A</t>
        </is>
      </c>
      <c r="C42" t="inlineStr">
        <is>
          <t>DETACHABLE, ADJUSTABLE HEIGHT ARMREST, BASE, REPLACEMENT ONLY, EACH</t>
        </is>
      </c>
      <c r="D42" t="n">
        <v>3</v>
      </c>
      <c r="E42" s="2" t="n">
        <v>57.45</v>
      </c>
      <c r="G42" s="2" t="inlineStr"/>
      <c r="I42" s="2" t="inlineStr"/>
      <c r="K42" s="2" t="inlineStr"/>
      <c r="L42">
        <f>IF(M42=G42,F42,IF(M42=I42,H42,J42))</f>
        <v/>
      </c>
      <c r="M42" s="2">
        <f>MIN(G42,I42,K42)</f>
        <v/>
      </c>
      <c r="N42" s="2">
        <f>D42*M42</f>
        <v/>
      </c>
      <c r="O42" s="2">
        <f>IF(ISBLANK(E42),0,D42*E42)</f>
        <v/>
      </c>
      <c r="P42" s="3">
        <f>IF(O42=0,0,(O42-N42)/O42)</f>
        <v/>
      </c>
      <c r="Q42" t="n">
        <v>60</v>
      </c>
      <c r="R42" t="inlineStr">
        <is>
          <t>LAUNCH_INVENTORY</t>
        </is>
      </c>
      <c r="S42" t="inlineStr"/>
    </row>
    <row r="43">
      <c r="A43" t="inlineStr">
        <is>
          <t>A6570</t>
        </is>
      </c>
      <c r="B43" t="inlineStr">
        <is>
          <t>S04</t>
        </is>
      </c>
      <c r="C43" t="inlineStr">
        <is>
          <t>GRADIENT COMPRESSION GARMENT, GENITAL REGION, EACH</t>
        </is>
      </c>
      <c r="D43" t="n">
        <v>3</v>
      </c>
      <c r="E43" s="2" t="n">
        <v>110.3</v>
      </c>
      <c r="G43" s="2" t="inlineStr"/>
      <c r="I43" s="2" t="inlineStr"/>
      <c r="K43" s="2" t="inlineStr"/>
      <c r="L43">
        <f>IF(M43=G43,F43,IF(M43=I43,H43,J43))</f>
        <v/>
      </c>
      <c r="M43" s="2">
        <f>MIN(G43,I43,K43)</f>
        <v/>
      </c>
      <c r="N43" s="2">
        <f>D43*M43</f>
        <v/>
      </c>
      <c r="O43" s="2">
        <f>IF(ISBLANK(E43),0,D43*E43)</f>
        <v/>
      </c>
      <c r="P43" s="3">
        <f>IF(O43=0,0,(O43-N43)/O43)</f>
        <v/>
      </c>
      <c r="Q43" t="n">
        <v>60</v>
      </c>
      <c r="R43" t="inlineStr">
        <is>
          <t>LAUNCH_INVENTORY</t>
        </is>
      </c>
      <c r="S43" t="inlineStr"/>
    </row>
    <row r="44">
      <c r="A44" t="inlineStr">
        <is>
          <t>A6569</t>
        </is>
      </c>
      <c r="B44" t="inlineStr">
        <is>
          <t>S04</t>
        </is>
      </c>
      <c r="C44" t="inlineStr">
        <is>
          <t>GRADIENT COMPRESSION GARMENT, TORSO/SHOULDER, CUSTOM, EACH</t>
        </is>
      </c>
      <c r="D44" t="n">
        <v>3</v>
      </c>
      <c r="E44" s="2" t="n">
        <v>921.85</v>
      </c>
      <c r="G44" s="2" t="inlineStr"/>
      <c r="I44" s="2" t="inlineStr"/>
      <c r="K44" s="2" t="inlineStr"/>
      <c r="L44">
        <f>IF(M44=G44,F44,IF(M44=I44,H44,J44))</f>
        <v/>
      </c>
      <c r="M44" s="2">
        <f>MIN(G44,I44,K44)</f>
        <v/>
      </c>
      <c r="N44" s="2">
        <f>D44*M44</f>
        <v/>
      </c>
      <c r="O44" s="2">
        <f>IF(ISBLANK(E44),0,D44*E44)</f>
        <v/>
      </c>
      <c r="P44" s="3">
        <f>IF(O44=0,0,(O44-N44)/O44)</f>
        <v/>
      </c>
      <c r="Q44" t="n">
        <v>60</v>
      </c>
      <c r="R44" t="inlineStr">
        <is>
          <t>LAUNCH_INVENTORY</t>
        </is>
      </c>
      <c r="S44" t="inlineStr"/>
    </row>
    <row r="45">
      <c r="A45" t="inlineStr">
        <is>
          <t>A6568</t>
        </is>
      </c>
      <c r="B45" t="inlineStr">
        <is>
          <t>S04</t>
        </is>
      </c>
      <c r="C45" t="inlineStr">
        <is>
          <t>GRADIENT COMPRESSION GARMENT, TORSO AND SHOULDER, EACH</t>
        </is>
      </c>
      <c r="D45" t="n">
        <v>3</v>
      </c>
      <c r="E45" s="2" t="n">
        <v>161.89</v>
      </c>
      <c r="G45" s="2" t="inlineStr"/>
      <c r="I45" s="2" t="inlineStr"/>
      <c r="K45" s="2" t="inlineStr"/>
      <c r="L45">
        <f>IF(M45=G45,F45,IF(M45=I45,H45,J45))</f>
        <v/>
      </c>
      <c r="M45" s="2">
        <f>MIN(G45,I45,K45)</f>
        <v/>
      </c>
      <c r="N45" s="2">
        <f>D45*M45</f>
        <v/>
      </c>
      <c r="O45" s="2">
        <f>IF(ISBLANK(E45),0,D45*E45)</f>
        <v/>
      </c>
      <c r="P45" s="3">
        <f>IF(O45=0,0,(O45-N45)/O45)</f>
        <v/>
      </c>
      <c r="Q45" t="n">
        <v>60</v>
      </c>
      <c r="R45" t="inlineStr">
        <is>
          <t>LAUNCH_INVENTORY</t>
        </is>
      </c>
      <c r="S45" t="inlineStr"/>
    </row>
    <row r="46">
      <c r="A46" t="inlineStr">
        <is>
          <t>A6583</t>
        </is>
      </c>
      <c r="B46" t="inlineStr">
        <is>
          <t>S04</t>
        </is>
      </c>
      <c r="C46" t="inlineStr">
        <is>
          <t>GRADIENT COMPRESSION WRAP WITH ADJUSTABLE STRAPS, BELOW KNEE, EACH</t>
        </is>
      </c>
      <c r="D46" t="n">
        <v>3</v>
      </c>
      <c r="E46" s="2" t="n">
        <v>155.92</v>
      </c>
      <c r="G46" s="2" t="inlineStr"/>
      <c r="I46" s="2" t="inlineStr"/>
      <c r="K46" s="2" t="inlineStr"/>
      <c r="L46">
        <f>IF(M46=G46,F46,IF(M46=I46,H46,J46))</f>
        <v/>
      </c>
      <c r="M46" s="2">
        <f>MIN(G46,I46,K46)</f>
        <v/>
      </c>
      <c r="N46" s="2">
        <f>D46*M46</f>
        <v/>
      </c>
      <c r="O46" s="2">
        <f>IF(ISBLANK(E46),0,D46*E46)</f>
        <v/>
      </c>
      <c r="P46" s="3">
        <f>IF(O46=0,0,(O46-N46)/O46)</f>
        <v/>
      </c>
      <c r="Q46" t="n">
        <v>60</v>
      </c>
      <c r="R46" t="inlineStr">
        <is>
          <t>LAUNCH_INVENTORY</t>
        </is>
      </c>
      <c r="S46" t="inlineStr"/>
    </row>
    <row r="47">
      <c r="A47" t="inlineStr">
        <is>
          <t>A6582</t>
        </is>
      </c>
      <c r="B47" t="inlineStr">
        <is>
          <t>S04</t>
        </is>
      </c>
      <c r="C47" t="inlineStr">
        <is>
          <t>GRADIENT COMPRESSION GAUNTLET, EACH</t>
        </is>
      </c>
      <c r="D47" t="n">
        <v>3</v>
      </c>
      <c r="E47" s="2" t="n">
        <v>47.4</v>
      </c>
      <c r="G47" s="2" t="inlineStr"/>
      <c r="I47" s="2" t="inlineStr"/>
      <c r="K47" s="2" t="inlineStr"/>
      <c r="L47">
        <f>IF(M47=G47,F47,IF(M47=I47,H47,J47))</f>
        <v/>
      </c>
      <c r="M47" s="2">
        <f>MIN(G47,I47,K47)</f>
        <v/>
      </c>
      <c r="N47" s="2">
        <f>D47*M47</f>
        <v/>
      </c>
      <c r="O47" s="2">
        <f>IF(ISBLANK(E47),0,D47*E47)</f>
        <v/>
      </c>
      <c r="P47" s="3">
        <f>IF(O47=0,0,(O47-N47)/O47)</f>
        <v/>
      </c>
      <c r="Q47" t="n">
        <v>60</v>
      </c>
      <c r="R47" t="inlineStr">
        <is>
          <t>LAUNCH_INVENTORY</t>
        </is>
      </c>
      <c r="S47" t="inlineStr"/>
    </row>
    <row r="48">
      <c r="A48" t="inlineStr">
        <is>
          <t>A6581</t>
        </is>
      </c>
      <c r="B48" t="inlineStr">
        <is>
          <t>S04</t>
        </is>
      </c>
      <c r="C48" t="inlineStr">
        <is>
          <t>GRADIENT COMPRESSION GLOVE, EACH</t>
        </is>
      </c>
      <c r="D48" t="n">
        <v>3</v>
      </c>
      <c r="E48" s="2" t="n">
        <v>71.06999999999999</v>
      </c>
      <c r="G48" s="2" t="inlineStr"/>
      <c r="I48" s="2" t="inlineStr"/>
      <c r="K48" s="2" t="inlineStr"/>
      <c r="L48">
        <f>IF(M48=G48,F48,IF(M48=I48,H48,J48))</f>
        <v/>
      </c>
      <c r="M48" s="2">
        <f>MIN(G48,I48,K48)</f>
        <v/>
      </c>
      <c r="N48" s="2">
        <f>D48*M48</f>
        <v/>
      </c>
      <c r="O48" s="2">
        <f>IF(ISBLANK(E48),0,D48*E48)</f>
        <v/>
      </c>
      <c r="P48" s="3">
        <f>IF(O48=0,0,(O48-N48)/O48)</f>
        <v/>
      </c>
      <c r="Q48" t="n">
        <v>60</v>
      </c>
      <c r="R48" t="inlineStr">
        <is>
          <t>LAUNCH_INVENTORY</t>
        </is>
      </c>
      <c r="S48" t="inlineStr"/>
    </row>
    <row r="49">
      <c r="A49" t="inlineStr">
        <is>
          <t>A6580</t>
        </is>
      </c>
      <c r="B49" t="inlineStr">
        <is>
          <t>S04</t>
        </is>
      </c>
      <c r="C49" t="inlineStr">
        <is>
          <t>GRADIENT  COMPRESSION GLOVE, CUSTOM, HEAVY WEIGHT, EACH</t>
        </is>
      </c>
      <c r="D49" t="n">
        <v>3</v>
      </c>
      <c r="E49" s="2" t="n">
        <v>302.78</v>
      </c>
      <c r="G49" s="2" t="inlineStr"/>
      <c r="I49" s="2" t="inlineStr"/>
      <c r="K49" s="2" t="inlineStr"/>
      <c r="L49">
        <f>IF(M49=G49,F49,IF(M49=I49,H49,J49))</f>
        <v/>
      </c>
      <c r="M49" s="2">
        <f>MIN(G49,I49,K49)</f>
        <v/>
      </c>
      <c r="N49" s="2">
        <f>D49*M49</f>
        <v/>
      </c>
      <c r="O49" s="2">
        <f>IF(ISBLANK(E49),0,D49*E49)</f>
        <v/>
      </c>
      <c r="P49" s="3">
        <f>IF(O49=0,0,(O49-N49)/O49)</f>
        <v/>
      </c>
      <c r="Q49" t="n">
        <v>60</v>
      </c>
      <c r="R49" t="inlineStr">
        <is>
          <t>LAUNCH_INVENTORY</t>
        </is>
      </c>
      <c r="S49" t="inlineStr"/>
    </row>
    <row r="50">
      <c r="A50" t="inlineStr">
        <is>
          <t>A6579</t>
        </is>
      </c>
      <c r="B50" t="inlineStr">
        <is>
          <t>S04</t>
        </is>
      </c>
      <c r="C50" t="inlineStr">
        <is>
          <t>GRADIENT COMPRESSION GLOVE, CUSTOM, MEDIUM WEIGHT, EACH</t>
        </is>
      </c>
      <c r="D50" t="n">
        <v>3</v>
      </c>
      <c r="E50" s="2" t="n">
        <v>305.02</v>
      </c>
      <c r="G50" s="2" t="inlineStr"/>
      <c r="I50" s="2" t="inlineStr"/>
      <c r="K50" s="2" t="inlineStr"/>
      <c r="L50">
        <f>IF(M50=G50,F50,IF(M50=I50,H50,J50))</f>
        <v/>
      </c>
      <c r="M50" s="2">
        <f>MIN(G50,I50,K50)</f>
        <v/>
      </c>
      <c r="N50" s="2">
        <f>D50*M50</f>
        <v/>
      </c>
      <c r="O50" s="2">
        <f>IF(ISBLANK(E50),0,D50*E50)</f>
        <v/>
      </c>
      <c r="P50" s="3">
        <f>IF(O50=0,0,(O50-N50)/O50)</f>
        <v/>
      </c>
      <c r="Q50" t="n">
        <v>60</v>
      </c>
      <c r="R50" t="inlineStr">
        <is>
          <t>LAUNCH_INVENTORY</t>
        </is>
      </c>
      <c r="S50" t="inlineStr"/>
    </row>
    <row r="51">
      <c r="A51" t="inlineStr">
        <is>
          <t>E0982</t>
        </is>
      </c>
      <c r="B51" t="inlineStr">
        <is>
          <t>M06A</t>
        </is>
      </c>
      <c r="C51" t="inlineStr">
        <is>
          <t>WHEELCHAIR ACCESSORY, BACK UPHOLSTERY, REPLACEMENT ONLY, EACH</t>
        </is>
      </c>
      <c r="D51" t="n">
        <v>3</v>
      </c>
      <c r="E51" s="2" t="n">
        <v>52.74</v>
      </c>
      <c r="G51" s="2" t="inlineStr"/>
      <c r="I51" s="2" t="inlineStr"/>
      <c r="K51" s="2" t="inlineStr"/>
      <c r="L51">
        <f>IF(M51=G51,F51,IF(M51=I51,H51,J51))</f>
        <v/>
      </c>
      <c r="M51" s="2">
        <f>MIN(G51,I51,K51)</f>
        <v/>
      </c>
      <c r="N51" s="2">
        <f>D51*M51</f>
        <v/>
      </c>
      <c r="O51" s="2">
        <f>IF(ISBLANK(E51),0,D51*E51)</f>
        <v/>
      </c>
      <c r="P51" s="3">
        <f>IF(O51=0,0,(O51-N51)/O51)</f>
        <v/>
      </c>
      <c r="Q51" t="n">
        <v>60</v>
      </c>
      <c r="R51" t="inlineStr">
        <is>
          <t>LAUNCH_INVENTORY</t>
        </is>
      </c>
      <c r="S51" t="inlineStr"/>
    </row>
    <row r="52">
      <c r="A52" t="inlineStr">
        <is>
          <t>A6244</t>
        </is>
      </c>
      <c r="B52" t="inlineStr">
        <is>
          <t>S01</t>
        </is>
      </c>
      <c r="C52" t="inlineStr">
        <is>
          <t>HYDROGEL DRESSING, WOUND COVER, STERILE, PAD SIZE MORE THAN 48 SQ. IN., WITHOUT ADHESIVE BORDER, EACH DRESSING</t>
        </is>
      </c>
      <c r="D52" t="n">
        <v>3</v>
      </c>
      <c r="E52" s="2" t="n">
        <v>54.89</v>
      </c>
      <c r="G52" s="2" t="inlineStr"/>
      <c r="I52" s="2" t="inlineStr"/>
      <c r="K52" s="2" t="inlineStr"/>
      <c r="L52">
        <f>IF(M52=G52,F52,IF(M52=I52,H52,J52))</f>
        <v/>
      </c>
      <c r="M52" s="2">
        <f>MIN(G52,I52,K52)</f>
        <v/>
      </c>
      <c r="N52" s="2">
        <f>D52*M52</f>
        <v/>
      </c>
      <c r="O52" s="2">
        <f>IF(ISBLANK(E52),0,D52*E52)</f>
        <v/>
      </c>
      <c r="P52" s="3">
        <f>IF(O52=0,0,(O52-N52)/O52)</f>
        <v/>
      </c>
      <c r="Q52" t="n">
        <v>60</v>
      </c>
      <c r="R52" t="inlineStr">
        <is>
          <t>LAUNCH_INVENTORY</t>
        </is>
      </c>
      <c r="S52" t="inlineStr"/>
    </row>
    <row r="53">
      <c r="A53" t="inlineStr">
        <is>
          <t>A6242</t>
        </is>
      </c>
      <c r="B53" t="inlineStr">
        <is>
          <t>S01</t>
        </is>
      </c>
      <c r="C53" t="inlineStr">
        <is>
          <t>HYDROGEL DRESSING, WOUND COVER, STERILE, PAD SIZE 16 SQ. IN. OR LESS, WITHOUT ADHESIVE BORDER, EACH DRESSING</t>
        </is>
      </c>
      <c r="D53" t="n">
        <v>3</v>
      </c>
      <c r="E53" s="2" t="n">
        <v>8.460000000000001</v>
      </c>
      <c r="G53" s="2" t="inlineStr"/>
      <c r="I53" s="2" t="inlineStr"/>
      <c r="K53" s="2" t="inlineStr"/>
      <c r="L53">
        <f>IF(M53=G53,F53,IF(M53=I53,H53,J53))</f>
        <v/>
      </c>
      <c r="M53" s="2">
        <f>MIN(G53,I53,K53)</f>
        <v/>
      </c>
      <c r="N53" s="2">
        <f>D53*M53</f>
        <v/>
      </c>
      <c r="O53" s="2">
        <f>IF(ISBLANK(E53),0,D53*E53)</f>
        <v/>
      </c>
      <c r="P53" s="3">
        <f>IF(O53=0,0,(O53-N53)/O53)</f>
        <v/>
      </c>
      <c r="Q53" t="n">
        <v>60</v>
      </c>
      <c r="R53" t="inlineStr">
        <is>
          <t>LAUNCH_INVENTORY</t>
        </is>
      </c>
      <c r="S53" t="inlineStr"/>
    </row>
    <row r="54">
      <c r="A54" t="inlineStr">
        <is>
          <t>A6241</t>
        </is>
      </c>
      <c r="B54" t="inlineStr">
        <is>
          <t>S01</t>
        </is>
      </c>
      <c r="C54" t="inlineStr">
        <is>
          <t>HYDROCOLLOID DRESSING, WOUND FILLER, DRY FORM, STERILE, PER GRAM</t>
        </is>
      </c>
      <c r="D54" t="n">
        <v>3</v>
      </c>
      <c r="E54" s="2" t="n">
        <v>3.59</v>
      </c>
      <c r="G54" s="2" t="inlineStr"/>
      <c r="I54" s="2" t="inlineStr"/>
      <c r="K54" s="2" t="inlineStr"/>
      <c r="L54">
        <f>IF(M54=G54,F54,IF(M54=I54,H54,J54))</f>
        <v/>
      </c>
      <c r="M54" s="2">
        <f>MIN(G54,I54,K54)</f>
        <v/>
      </c>
      <c r="N54" s="2">
        <f>D54*M54</f>
        <v/>
      </c>
      <c r="O54" s="2">
        <f>IF(ISBLANK(E54),0,D54*E54)</f>
        <v/>
      </c>
      <c r="P54" s="3">
        <f>IF(O54=0,0,(O54-N54)/O54)</f>
        <v/>
      </c>
      <c r="Q54" t="n">
        <v>60</v>
      </c>
      <c r="R54" t="inlineStr">
        <is>
          <t>LAUNCH_INVENTORY</t>
        </is>
      </c>
      <c r="S54" t="inlineStr"/>
    </row>
    <row r="55">
      <c r="A55" t="inlineStr">
        <is>
          <t>A6240</t>
        </is>
      </c>
      <c r="B55" t="inlineStr">
        <is>
          <t>S01</t>
        </is>
      </c>
      <c r="C55" t="inlineStr">
        <is>
          <t>HYDROCOLLOID DRESSING, WOUND FILLER, PASTE, STERILE, PER OUNCE</t>
        </is>
      </c>
      <c r="D55" t="n">
        <v>3</v>
      </c>
      <c r="E55" s="2" t="n">
        <v>17.11</v>
      </c>
      <c r="G55" s="2" t="inlineStr"/>
      <c r="I55" s="2" t="inlineStr"/>
      <c r="K55" s="2" t="inlineStr"/>
      <c r="L55">
        <f>IF(M55=G55,F55,IF(M55=I55,H55,J55))</f>
        <v/>
      </c>
      <c r="M55" s="2">
        <f>MIN(G55,I55,K55)</f>
        <v/>
      </c>
      <c r="N55" s="2">
        <f>D55*M55</f>
        <v/>
      </c>
      <c r="O55" s="2">
        <f>IF(ISBLANK(E55),0,D55*E55)</f>
        <v/>
      </c>
      <c r="P55" s="3">
        <f>IF(O55=0,0,(O55-N55)/O55)</f>
        <v/>
      </c>
      <c r="Q55" t="n">
        <v>60</v>
      </c>
      <c r="R55" t="inlineStr">
        <is>
          <t>LAUNCH_INVENTORY</t>
        </is>
      </c>
      <c r="S55" t="inlineStr"/>
    </row>
    <row r="56">
      <c r="A56" t="inlineStr">
        <is>
          <t>E2222</t>
        </is>
      </c>
      <c r="B56" t="inlineStr">
        <is>
          <t>M06A</t>
        </is>
      </c>
      <c r="C56" t="inlineStr">
        <is>
          <t>MANUAL WHEELCHAIR ACCESSORY, SOLID (RUBBER/PLASTIC) CASTER TIRE WITH INTEGRATED WHEEL, ANY SIZE, REPLACEMENT ONLY, EACH</t>
        </is>
      </c>
      <c r="D56" t="n">
        <v>3</v>
      </c>
      <c r="E56" s="2" t="n">
        <v>23.73</v>
      </c>
      <c r="G56" s="2" t="inlineStr"/>
      <c r="I56" s="2" t="inlineStr"/>
      <c r="K56" s="2" t="inlineStr"/>
      <c r="L56">
        <f>IF(M56=G56,F56,IF(M56=I56,H56,J56))</f>
        <v/>
      </c>
      <c r="M56" s="2">
        <f>MIN(G56,I56,K56)</f>
        <v/>
      </c>
      <c r="N56" s="2">
        <f>D56*M56</f>
        <v/>
      </c>
      <c r="O56" s="2">
        <f>IF(ISBLANK(E56),0,D56*E56)</f>
        <v/>
      </c>
      <c r="P56" s="3">
        <f>IF(O56=0,0,(O56-N56)/O56)</f>
        <v/>
      </c>
      <c r="Q56" t="n">
        <v>60</v>
      </c>
      <c r="R56" t="inlineStr">
        <is>
          <t>LAUNCH_INVENTORY</t>
        </is>
      </c>
      <c r="S56" t="inlineStr"/>
    </row>
    <row r="57">
      <c r="A57" t="inlineStr">
        <is>
          <t>E2221</t>
        </is>
      </c>
      <c r="B57" t="inlineStr">
        <is>
          <t>M06A</t>
        </is>
      </c>
      <c r="C57" t="inlineStr">
        <is>
          <t>MANUAL WHEELCHAIR ACCESSORY, SOLID (RUBBER/PLASTIC) CASTER TIRE (REMOVABLE), ANY SIZE, REPLACEMENT ONLY, EACH</t>
        </is>
      </c>
      <c r="D57" t="n">
        <v>3</v>
      </c>
      <c r="E57" s="2" t="n">
        <v>28.73</v>
      </c>
      <c r="G57" s="2" t="inlineStr"/>
      <c r="I57" s="2" t="inlineStr"/>
      <c r="K57" s="2" t="inlineStr"/>
      <c r="L57">
        <f>IF(M57=G57,F57,IF(M57=I57,H57,J57))</f>
        <v/>
      </c>
      <c r="M57" s="2">
        <f>MIN(G57,I57,K57)</f>
        <v/>
      </c>
      <c r="N57" s="2">
        <f>D57*M57</f>
        <v/>
      </c>
      <c r="O57" s="2">
        <f>IF(ISBLANK(E57),0,D57*E57)</f>
        <v/>
      </c>
      <c r="P57" s="3">
        <f>IF(O57=0,0,(O57-N57)/O57)</f>
        <v/>
      </c>
      <c r="Q57" t="n">
        <v>60</v>
      </c>
      <c r="R57" t="inlineStr">
        <is>
          <t>LAUNCH_INVENTORY</t>
        </is>
      </c>
      <c r="S57" t="inlineStr"/>
    </row>
    <row r="58">
      <c r="A58" t="inlineStr">
        <is>
          <t>E2220</t>
        </is>
      </c>
      <c r="B58" t="inlineStr">
        <is>
          <t>M06A</t>
        </is>
      </c>
      <c r="C58" t="inlineStr">
        <is>
          <t>MANUAL WHEELCHAIR ACCESSORY, SOLID (RUBBER/PLASTIC) PROPULSION TIRE, ANY SIZE, REPLACEMENT ONLY, EACH</t>
        </is>
      </c>
      <c r="D58" t="n">
        <v>3</v>
      </c>
      <c r="E58" s="2" t="n">
        <v>29.97</v>
      </c>
      <c r="G58" s="2" t="inlineStr"/>
      <c r="I58" s="2" t="inlineStr"/>
      <c r="K58" s="2" t="inlineStr"/>
      <c r="L58">
        <f>IF(M58=G58,F58,IF(M58=I58,H58,J58))</f>
        <v/>
      </c>
      <c r="M58" s="2">
        <f>MIN(G58,I58,K58)</f>
        <v/>
      </c>
      <c r="N58" s="2">
        <f>D58*M58</f>
        <v/>
      </c>
      <c r="O58" s="2">
        <f>IF(ISBLANK(E58),0,D58*E58)</f>
        <v/>
      </c>
      <c r="P58" s="3">
        <f>IF(O58=0,0,(O58-N58)/O58)</f>
        <v/>
      </c>
      <c r="Q58" t="n">
        <v>60</v>
      </c>
      <c r="R58" t="inlineStr">
        <is>
          <t>LAUNCH_INVENTORY</t>
        </is>
      </c>
      <c r="S58" t="inlineStr"/>
    </row>
    <row r="59">
      <c r="A59" t="inlineStr">
        <is>
          <t>E2212</t>
        </is>
      </c>
      <c r="B59" t="inlineStr">
        <is>
          <t>M06A</t>
        </is>
      </c>
      <c r="C59" t="inlineStr">
        <is>
          <t>MANUAL WHEELCHAIR ACCESSORY, TUBE FOR PNEUMATIC PROPULSION TIRE, ANY SIZE, EACH</t>
        </is>
      </c>
      <c r="D59" t="n">
        <v>3</v>
      </c>
      <c r="E59" s="2" t="n">
        <v>6.31</v>
      </c>
      <c r="G59" s="2" t="inlineStr"/>
      <c r="I59" s="2" t="inlineStr"/>
      <c r="K59" s="2" t="inlineStr"/>
      <c r="L59">
        <f>IF(M59=G59,F59,IF(M59=I59,H59,J59))</f>
        <v/>
      </c>
      <c r="M59" s="2">
        <f>MIN(G59,I59,K59)</f>
        <v/>
      </c>
      <c r="N59" s="2">
        <f>D59*M59</f>
        <v/>
      </c>
      <c r="O59" s="2">
        <f>IF(ISBLANK(E59),0,D59*E59)</f>
        <v/>
      </c>
      <c r="P59" s="3">
        <f>IF(O59=0,0,(O59-N59)/O59)</f>
        <v/>
      </c>
      <c r="Q59" t="n">
        <v>60</v>
      </c>
      <c r="R59" t="inlineStr">
        <is>
          <t>LAUNCH_INVENTORY</t>
        </is>
      </c>
      <c r="S59" t="inlineStr"/>
    </row>
    <row r="60">
      <c r="A60" t="inlineStr">
        <is>
          <t>E2228</t>
        </is>
      </c>
      <c r="B60" t="inlineStr">
        <is>
          <t>M06A</t>
        </is>
      </c>
      <c r="C60" t="inlineStr">
        <is>
          <t>MANUAL WHEELCHAIR ACCESSORY, WHEEL BRAKING SYSTEM AND LOCK, COMPLETE, EACH</t>
        </is>
      </c>
      <c r="D60" t="n">
        <v>3</v>
      </c>
      <c r="E60" s="2" t="n">
        <v>103.85</v>
      </c>
      <c r="G60" s="2" t="inlineStr"/>
      <c r="I60" s="2" t="inlineStr"/>
      <c r="K60" s="2" t="inlineStr"/>
      <c r="L60">
        <f>IF(M60=G60,F60,IF(M60=I60,H60,J60))</f>
        <v/>
      </c>
      <c r="M60" s="2">
        <f>MIN(G60,I60,K60)</f>
        <v/>
      </c>
      <c r="N60" s="2">
        <f>D60*M60</f>
        <v/>
      </c>
      <c r="O60" s="2">
        <f>IF(ISBLANK(E60),0,D60*E60)</f>
        <v/>
      </c>
      <c r="P60" s="3">
        <f>IF(O60=0,0,(O60-N60)/O60)</f>
        <v/>
      </c>
      <c r="Q60" t="n">
        <v>60</v>
      </c>
      <c r="R60" t="inlineStr">
        <is>
          <t>LAUNCH_INVENTORY</t>
        </is>
      </c>
      <c r="S60" t="inlineStr"/>
    </row>
    <row r="61">
      <c r="A61" t="inlineStr">
        <is>
          <t>K0045</t>
        </is>
      </c>
      <c r="B61" t="inlineStr">
        <is>
          <t>M06A</t>
        </is>
      </c>
      <c r="C61" t="inlineStr">
        <is>
          <t>FOOTREST, COMPLETE ASSEMBLY, REPLACEMENT ONLY, EACH</t>
        </is>
      </c>
      <c r="D61" t="n">
        <v>3</v>
      </c>
      <c r="E61" s="2" t="n">
        <v>66.84999999999999</v>
      </c>
      <c r="G61" s="2" t="inlineStr"/>
      <c r="I61" s="2" t="inlineStr"/>
      <c r="K61" s="2" t="inlineStr"/>
      <c r="L61">
        <f>IF(M61=G61,F61,IF(M61=I61,H61,J61))</f>
        <v/>
      </c>
      <c r="M61" s="2">
        <f>MIN(G61,I61,K61)</f>
        <v/>
      </c>
      <c r="N61" s="2">
        <f>D61*M61</f>
        <v/>
      </c>
      <c r="O61" s="2">
        <f>IF(ISBLANK(E61),0,D61*E61)</f>
        <v/>
      </c>
      <c r="P61" s="3">
        <f>IF(O61=0,0,(O61-N61)/O61)</f>
        <v/>
      </c>
      <c r="Q61" t="n">
        <v>60</v>
      </c>
      <c r="R61" t="inlineStr">
        <is>
          <t>LAUNCH_INVENTORY</t>
        </is>
      </c>
      <c r="S61" t="inlineStr"/>
    </row>
    <row r="62">
      <c r="A62" t="inlineStr">
        <is>
          <t>K0039</t>
        </is>
      </c>
      <c r="B62" t="inlineStr">
        <is>
          <t>M06A</t>
        </is>
      </c>
      <c r="C62" t="inlineStr">
        <is>
          <t>LEG STRAP, H STYLE, EACH</t>
        </is>
      </c>
      <c r="D62" t="n">
        <v>3</v>
      </c>
      <c r="E62" s="2" t="n">
        <v>61.65</v>
      </c>
      <c r="G62" s="2" t="inlineStr"/>
      <c r="I62" s="2" t="inlineStr"/>
      <c r="K62" s="2" t="inlineStr"/>
      <c r="L62">
        <f>IF(M62=G62,F62,IF(M62=I62,H62,J62))</f>
        <v/>
      </c>
      <c r="M62" s="2">
        <f>MIN(G62,I62,K62)</f>
        <v/>
      </c>
      <c r="N62" s="2">
        <f>D62*M62</f>
        <v/>
      </c>
      <c r="O62" s="2">
        <f>IF(ISBLANK(E62),0,D62*E62)</f>
        <v/>
      </c>
      <c r="P62" s="3">
        <f>IF(O62=0,0,(O62-N62)/O62)</f>
        <v/>
      </c>
      <c r="Q62" t="n">
        <v>60</v>
      </c>
      <c r="R62" t="inlineStr">
        <is>
          <t>LAUNCH_INVENTORY</t>
        </is>
      </c>
      <c r="S62" t="inlineStr"/>
    </row>
    <row r="63">
      <c r="A63" t="inlineStr">
        <is>
          <t>E2224</t>
        </is>
      </c>
      <c r="B63" t="inlineStr">
        <is>
          <t>M06A</t>
        </is>
      </c>
      <c r="C63" t="inlineStr">
        <is>
          <t>MANUAL WHEELCHAIR ACCESSORY, PROPULSION WHEEL EXCLUDES TIRE, ANY SIZE, REPLACEMENT ONLY, EACH</t>
        </is>
      </c>
      <c r="D63" t="n">
        <v>3</v>
      </c>
      <c r="E63" s="2" t="n">
        <v>101.18</v>
      </c>
      <c r="G63" s="2" t="inlineStr"/>
      <c r="I63" s="2" t="inlineStr"/>
      <c r="K63" s="2" t="inlineStr"/>
      <c r="L63">
        <f>IF(M63=G63,F63,IF(M63=I63,H63,J63))</f>
        <v/>
      </c>
      <c r="M63" s="2">
        <f>MIN(G63,I63,K63)</f>
        <v/>
      </c>
      <c r="N63" s="2">
        <f>D63*M63</f>
        <v/>
      </c>
      <c r="O63" s="2">
        <f>IF(ISBLANK(E63),0,D63*E63)</f>
        <v/>
      </c>
      <c r="P63" s="3">
        <f>IF(O63=0,0,(O63-N63)/O63)</f>
        <v/>
      </c>
      <c r="Q63" t="n">
        <v>60</v>
      </c>
      <c r="R63" t="inlineStr">
        <is>
          <t>LAUNCH_INVENTORY</t>
        </is>
      </c>
      <c r="S63" t="inlineStr"/>
    </row>
    <row r="64">
      <c r="A64" t="inlineStr">
        <is>
          <t>E0961</t>
        </is>
      </c>
      <c r="B64" t="inlineStr">
        <is>
          <t>M06A</t>
        </is>
      </c>
      <c r="C64" t="inlineStr">
        <is>
          <t>MANUAL WHEELCHAIR ACCESSORY, WHEEL LOCK BRAKE EXTENSION (HANDLE), EACH</t>
        </is>
      </c>
      <c r="D64" t="n">
        <v>3</v>
      </c>
      <c r="E64" s="2" t="n">
        <v>19.97</v>
      </c>
      <c r="G64" s="2" t="inlineStr"/>
      <c r="I64" s="2" t="inlineStr"/>
      <c r="K64" s="2" t="inlineStr"/>
      <c r="L64">
        <f>IF(M64=G64,F64,IF(M64=I64,H64,J64))</f>
        <v/>
      </c>
      <c r="M64" s="2">
        <f>MIN(G64,I64,K64)</f>
        <v/>
      </c>
      <c r="N64" s="2">
        <f>D64*M64</f>
        <v/>
      </c>
      <c r="O64" s="2">
        <f>IF(ISBLANK(E64),0,D64*E64)</f>
        <v/>
      </c>
      <c r="P64" s="3">
        <f>IF(O64=0,0,(O64-N64)/O64)</f>
        <v/>
      </c>
      <c r="Q64" t="n">
        <v>60</v>
      </c>
      <c r="R64" t="inlineStr">
        <is>
          <t>LAUNCH_INVENTORY</t>
        </is>
      </c>
      <c r="S64" t="inlineStr"/>
    </row>
    <row r="65">
      <c r="A65" t="inlineStr">
        <is>
          <t>E0954</t>
        </is>
      </c>
      <c r="B65" t="inlineStr">
        <is>
          <t>M06A</t>
        </is>
      </c>
      <c r="C65" t="inlineStr">
        <is>
          <t>WHEELCHAIR ACCESSORY, FOOT BOX, ANY TYPE, INCLUDES ATTACHMENT AND MOUNTING HARDWARE, EACH FOOT</t>
        </is>
      </c>
      <c r="D65" t="n">
        <v>3</v>
      </c>
      <c r="E65" s="2" t="n">
        <v>63.39</v>
      </c>
      <c r="G65" s="2" t="inlineStr"/>
      <c r="I65" s="2" t="inlineStr"/>
      <c r="K65" s="2" t="inlineStr"/>
      <c r="L65">
        <f>IF(M65=G65,F65,IF(M65=I65,H65,J65))</f>
        <v/>
      </c>
      <c r="M65" s="2">
        <f>MIN(G65,I65,K65)</f>
        <v/>
      </c>
      <c r="N65" s="2">
        <f>D65*M65</f>
        <v/>
      </c>
      <c r="O65" s="2">
        <f>IF(ISBLANK(E65),0,D65*E65)</f>
        <v/>
      </c>
      <c r="P65" s="3">
        <f>IF(O65=0,0,(O65-N65)/O65)</f>
        <v/>
      </c>
      <c r="Q65" t="n">
        <v>60</v>
      </c>
      <c r="R65" t="inlineStr">
        <is>
          <t>LAUNCH_INVENTORY</t>
        </is>
      </c>
      <c r="S65" t="inlineStr"/>
    </row>
    <row r="66">
      <c r="A66" t="inlineStr">
        <is>
          <t>E0988</t>
        </is>
      </c>
      <c r="B66" t="inlineStr">
        <is>
          <t>M06A</t>
        </is>
      </c>
      <c r="C66" t="inlineStr">
        <is>
          <t>MANUAL WHEELCHAIR ACCESSORY, LEVER-ACTIVATED, WHEEL DRIVE, PAIR</t>
        </is>
      </c>
      <c r="D66" t="n">
        <v>3</v>
      </c>
      <c r="E66" s="2" t="n">
        <v>402.16</v>
      </c>
      <c r="G66" s="2" t="inlineStr"/>
      <c r="I66" s="2" t="inlineStr"/>
      <c r="K66" s="2" t="inlineStr"/>
      <c r="L66">
        <f>IF(M66=G66,F66,IF(M66=I66,H66,J66))</f>
        <v/>
      </c>
      <c r="M66" s="2">
        <f>MIN(G66,I66,K66)</f>
        <v/>
      </c>
      <c r="N66" s="2">
        <f>D66*M66</f>
        <v/>
      </c>
      <c r="O66" s="2">
        <f>IF(ISBLANK(E66),0,D66*E66)</f>
        <v/>
      </c>
      <c r="P66" s="3">
        <f>IF(O66=0,0,(O66-N66)/O66)</f>
        <v/>
      </c>
      <c r="Q66" t="n">
        <v>60</v>
      </c>
      <c r="R66" t="inlineStr">
        <is>
          <t>LAUNCH_INVENTORY</t>
        </is>
      </c>
      <c r="S66" t="inlineStr"/>
    </row>
    <row r="67">
      <c r="A67" t="inlineStr">
        <is>
          <t>E0995</t>
        </is>
      </c>
      <c r="B67" t="inlineStr">
        <is>
          <t>M06A</t>
        </is>
      </c>
      <c r="C67" t="inlineStr">
        <is>
          <t>WHEELCHAIR ACCESSORY, CALF REST/PAD, REPLACEMENT ONLY, EACH</t>
        </is>
      </c>
      <c r="D67" t="n">
        <v>3</v>
      </c>
      <c r="E67" s="2" t="n">
        <v>31.12</v>
      </c>
      <c r="G67" s="2" t="inlineStr"/>
      <c r="I67" s="2" t="inlineStr"/>
      <c r="K67" s="2" t="inlineStr"/>
      <c r="L67">
        <f>IF(M67=G67,F67,IF(M67=I67,H67,J67))</f>
        <v/>
      </c>
      <c r="M67" s="2">
        <f>MIN(G67,I67,K67)</f>
        <v/>
      </c>
      <c r="N67" s="2">
        <f>D67*M67</f>
        <v/>
      </c>
      <c r="O67" s="2">
        <f>IF(ISBLANK(E67),0,D67*E67)</f>
        <v/>
      </c>
      <c r="P67" s="3">
        <f>IF(O67=0,0,(O67-N67)/O67)</f>
        <v/>
      </c>
      <c r="Q67" t="n">
        <v>60</v>
      </c>
      <c r="R67" t="inlineStr">
        <is>
          <t>LAUNCH_INVENTORY</t>
        </is>
      </c>
      <c r="S67" t="inlineStr"/>
    </row>
    <row r="68">
      <c r="A68" t="inlineStr">
        <is>
          <t>E0952</t>
        </is>
      </c>
      <c r="B68" t="inlineStr">
        <is>
          <t>M06A</t>
        </is>
      </c>
      <c r="C68" t="inlineStr">
        <is>
          <t>TOE LOOP/HOLDER, ANY TYPE, EACH</t>
        </is>
      </c>
      <c r="D68" t="n">
        <v>3</v>
      </c>
      <c r="E68" s="2" t="n">
        <v>20.19</v>
      </c>
      <c r="G68" s="2" t="inlineStr"/>
      <c r="I68" s="2" t="inlineStr"/>
      <c r="K68" s="2" t="inlineStr"/>
      <c r="L68">
        <f>IF(M68=G68,F68,IF(M68=I68,H68,J68))</f>
        <v/>
      </c>
      <c r="M68" s="2">
        <f>MIN(G68,I68,K68)</f>
        <v/>
      </c>
      <c r="N68" s="2">
        <f>D68*M68</f>
        <v/>
      </c>
      <c r="O68" s="2">
        <f>IF(ISBLANK(E68),0,D68*E68)</f>
        <v/>
      </c>
      <c r="P68" s="3">
        <f>IF(O68=0,0,(O68-N68)/O68)</f>
        <v/>
      </c>
      <c r="Q68" t="n">
        <v>60</v>
      </c>
      <c r="R68" t="inlineStr">
        <is>
          <t>LAUNCH_INVENTORY</t>
        </is>
      </c>
      <c r="S68" t="inlineStr"/>
    </row>
    <row r="69">
      <c r="A69" t="inlineStr">
        <is>
          <t>E0951</t>
        </is>
      </c>
      <c r="B69" t="inlineStr">
        <is>
          <t>M06A</t>
        </is>
      </c>
      <c r="C69" t="inlineStr">
        <is>
          <t>HEEL LOOP/HOLDER, ANY TYPE, WITH OR WITHOUT ANKLE STRAP, EACH</t>
        </is>
      </c>
      <c r="D69" t="n">
        <v>3</v>
      </c>
      <c r="E69" s="2" t="n">
        <v>13.05</v>
      </c>
      <c r="G69" s="2" t="inlineStr"/>
      <c r="I69" s="2" t="inlineStr"/>
      <c r="K69" s="2" t="inlineStr"/>
      <c r="L69">
        <f>IF(M69=G69,F69,IF(M69=I69,H69,J69))</f>
        <v/>
      </c>
      <c r="M69" s="2">
        <f>MIN(G69,I69,K69)</f>
        <v/>
      </c>
      <c r="N69" s="2">
        <f>D69*M69</f>
        <v/>
      </c>
      <c r="O69" s="2">
        <f>IF(ISBLANK(E69),0,D69*E69)</f>
        <v/>
      </c>
      <c r="P69" s="3">
        <f>IF(O69=0,0,(O69-N69)/O69)</f>
        <v/>
      </c>
      <c r="Q69" t="n">
        <v>60</v>
      </c>
      <c r="R69" t="inlineStr">
        <is>
          <t>LAUNCH_INVENTORY</t>
        </is>
      </c>
      <c r="S69" t="inlineStr"/>
    </row>
    <row r="70">
      <c r="A70" t="inlineStr">
        <is>
          <t>E0950</t>
        </is>
      </c>
      <c r="B70" t="inlineStr">
        <is>
          <t>M06A</t>
        </is>
      </c>
      <c r="C70" t="inlineStr">
        <is>
          <t>WHEELCHAIR ACCESSORY, TRAY, EACH</t>
        </is>
      </c>
      <c r="D70" t="n">
        <v>3</v>
      </c>
      <c r="E70" s="2" t="n">
        <v>81.18000000000001</v>
      </c>
      <c r="G70" s="2" t="inlineStr"/>
      <c r="I70" s="2" t="inlineStr"/>
      <c r="K70" s="2" t="inlineStr"/>
      <c r="L70">
        <f>IF(M70=G70,F70,IF(M70=I70,H70,J70))</f>
        <v/>
      </c>
      <c r="M70" s="2">
        <f>MIN(G70,I70,K70)</f>
        <v/>
      </c>
      <c r="N70" s="2">
        <f>D70*M70</f>
        <v/>
      </c>
      <c r="O70" s="2">
        <f>IF(ISBLANK(E70),0,D70*E70)</f>
        <v/>
      </c>
      <c r="P70" s="3">
        <f>IF(O70=0,0,(O70-N70)/O70)</f>
        <v/>
      </c>
      <c r="Q70" t="n">
        <v>60</v>
      </c>
      <c r="R70" t="inlineStr">
        <is>
          <t>LAUNCH_INVENTORY</t>
        </is>
      </c>
      <c r="S70" t="inlineStr"/>
    </row>
    <row r="71">
      <c r="A71" t="inlineStr">
        <is>
          <t>E0705</t>
        </is>
      </c>
      <c r="B71" t="inlineStr">
        <is>
          <t>M06A</t>
        </is>
      </c>
      <c r="C71" t="inlineStr">
        <is>
          <t>TRANSFER DEVICE, ANY TYPE, EACH</t>
        </is>
      </c>
      <c r="D71" t="n">
        <v>3</v>
      </c>
      <c r="E71" s="2" t="n">
        <v>49.97</v>
      </c>
      <c r="G71" s="2" t="inlineStr"/>
      <c r="I71" s="2" t="inlineStr"/>
      <c r="K71" s="2" t="inlineStr"/>
      <c r="L71">
        <f>IF(M71=G71,F71,IF(M71=I71,H71,J71))</f>
        <v/>
      </c>
      <c r="M71" s="2">
        <f>MIN(G71,I71,K71)</f>
        <v/>
      </c>
      <c r="N71" s="2">
        <f>D71*M71</f>
        <v/>
      </c>
      <c r="O71" s="2">
        <f>IF(ISBLANK(E71),0,D71*E71)</f>
        <v/>
      </c>
      <c r="P71" s="3">
        <f>IF(O71=0,0,(O71-N71)/O71)</f>
        <v/>
      </c>
      <c r="Q71" t="n">
        <v>60</v>
      </c>
      <c r="R71" t="inlineStr">
        <is>
          <t>LAUNCH_INVENTORY</t>
        </is>
      </c>
      <c r="S71" t="inlineStr"/>
    </row>
    <row r="72">
      <c r="A72" t="inlineStr">
        <is>
          <t>E0981</t>
        </is>
      </c>
      <c r="B72" t="inlineStr">
        <is>
          <t>M06A</t>
        </is>
      </c>
      <c r="C72" t="inlineStr">
        <is>
          <t>WHEELCHAIR ACCESSORY, SEAT UPHOLSTERY, REPLACEMENT ONLY, EACH</t>
        </is>
      </c>
      <c r="D72" t="n">
        <v>3</v>
      </c>
      <c r="E72" s="2" t="n">
        <v>50.61</v>
      </c>
      <c r="G72" s="2" t="inlineStr"/>
      <c r="I72" s="2" t="inlineStr"/>
      <c r="K72" s="2" t="inlineStr"/>
      <c r="L72">
        <f>IF(M72=G72,F72,IF(M72=I72,H72,J72))</f>
        <v/>
      </c>
      <c r="M72" s="2">
        <f>MIN(G72,I72,K72)</f>
        <v/>
      </c>
      <c r="N72" s="2">
        <f>D72*M72</f>
        <v/>
      </c>
      <c r="O72" s="2">
        <f>IF(ISBLANK(E72),0,D72*E72)</f>
        <v/>
      </c>
      <c r="P72" s="3">
        <f>IF(O72=0,0,(O72-N72)/O72)</f>
        <v/>
      </c>
      <c r="Q72" t="n">
        <v>60</v>
      </c>
      <c r="R72" t="inlineStr">
        <is>
          <t>LAUNCH_INVENTORY</t>
        </is>
      </c>
      <c r="S72" t="inlineStr"/>
    </row>
    <row r="73">
      <c r="A73" t="inlineStr">
        <is>
          <t>E0974</t>
        </is>
      </c>
      <c r="B73" t="inlineStr">
        <is>
          <t>M06A</t>
        </is>
      </c>
      <c r="C73" t="inlineStr">
        <is>
          <t>MANUAL WHEELCHAIR ACCESSORY, ANTI-ROLLBACK DEVICE, EACH</t>
        </is>
      </c>
      <c r="D73" t="n">
        <v>3</v>
      </c>
      <c r="E73" s="2" t="n">
        <v>71.53</v>
      </c>
      <c r="G73" s="2" t="inlineStr"/>
      <c r="I73" s="2" t="inlineStr"/>
      <c r="K73" s="2" t="inlineStr"/>
      <c r="L73">
        <f>IF(M73=G73,F73,IF(M73=I73,H73,J73))</f>
        <v/>
      </c>
      <c r="M73" s="2">
        <f>MIN(G73,I73,K73)</f>
        <v/>
      </c>
      <c r="N73" s="2">
        <f>D73*M73</f>
        <v/>
      </c>
      <c r="O73" s="2">
        <f>IF(ISBLANK(E73),0,D73*E73)</f>
        <v/>
      </c>
      <c r="P73" s="3">
        <f>IF(O73=0,0,(O73-N73)/O73)</f>
        <v/>
      </c>
      <c r="Q73" t="n">
        <v>60</v>
      </c>
      <c r="R73" t="inlineStr">
        <is>
          <t>LAUNCH_INVENTORY</t>
        </is>
      </c>
      <c r="S73" t="inlineStr"/>
    </row>
    <row r="74">
      <c r="A74" t="inlineStr">
        <is>
          <t>E0971</t>
        </is>
      </c>
      <c r="B74" t="inlineStr">
        <is>
          <t>M06A</t>
        </is>
      </c>
      <c r="C74" t="inlineStr">
        <is>
          <t>MANUAL WHEELCHAIR ACCESSORY, ANTI-TIPPING DEVICE, EACH</t>
        </is>
      </c>
      <c r="D74" t="n">
        <v>3</v>
      </c>
      <c r="E74" s="2" t="n">
        <v>33.75</v>
      </c>
      <c r="G74" s="2" t="inlineStr"/>
      <c r="I74" s="2" t="inlineStr"/>
      <c r="K74" s="2" t="inlineStr"/>
      <c r="L74">
        <f>IF(M74=G74,F74,IF(M74=I74,H74,J74))</f>
        <v/>
      </c>
      <c r="M74" s="2">
        <f>MIN(G74,I74,K74)</f>
        <v/>
      </c>
      <c r="N74" s="2">
        <f>D74*M74</f>
        <v/>
      </c>
      <c r="O74" s="2">
        <f>IF(ISBLANK(E74),0,D74*E74)</f>
        <v/>
      </c>
      <c r="P74" s="3">
        <f>IF(O74=0,0,(O74-N74)/O74)</f>
        <v/>
      </c>
      <c r="Q74" t="n">
        <v>60</v>
      </c>
      <c r="R74" t="inlineStr">
        <is>
          <t>LAUNCH_INVENTORY</t>
        </is>
      </c>
      <c r="S74" t="inlineStr"/>
    </row>
    <row r="75">
      <c r="A75" t="inlineStr">
        <is>
          <t>A6528</t>
        </is>
      </c>
      <c r="B75" t="inlineStr">
        <is>
          <t>S04</t>
        </is>
      </c>
      <c r="C75" t="inlineStr">
        <is>
          <t>GRADIENT COMPRESSION GARMENT, BRA, FOR NIGHTTIME USE, EACH</t>
        </is>
      </c>
      <c r="D75" t="n">
        <v>3</v>
      </c>
      <c r="E75" s="2" t="n">
        <v>648.9</v>
      </c>
      <c r="G75" s="2" t="inlineStr"/>
      <c r="I75" s="2" t="inlineStr"/>
      <c r="K75" s="2" t="inlineStr"/>
      <c r="L75">
        <f>IF(M75=G75,F75,IF(M75=I75,H75,J75))</f>
        <v/>
      </c>
      <c r="M75" s="2">
        <f>MIN(G75,I75,K75)</f>
        <v/>
      </c>
      <c r="N75" s="2">
        <f>D75*M75</f>
        <v/>
      </c>
      <c r="O75" s="2">
        <f>IF(ISBLANK(E75),0,D75*E75)</f>
        <v/>
      </c>
      <c r="P75" s="3">
        <f>IF(O75=0,0,(O75-N75)/O75)</f>
        <v/>
      </c>
      <c r="Q75" t="n">
        <v>60</v>
      </c>
      <c r="R75" t="inlineStr">
        <is>
          <t>LAUNCH_INVENTORY</t>
        </is>
      </c>
      <c r="S75" t="inlineStr"/>
    </row>
    <row r="76">
      <c r="A76" t="inlineStr">
        <is>
          <t>A6527</t>
        </is>
      </c>
      <c r="B76" t="inlineStr">
        <is>
          <t>S04</t>
        </is>
      </c>
      <c r="C76" t="inlineStr">
        <is>
          <t>GRADIENT COMPRESSION GARMENT, FULL LEG AND FOOT, PADDED, FOR NIGHTTIME USE, CUSTOM, EACH</t>
        </is>
      </c>
      <c r="D76" t="n">
        <v>3</v>
      </c>
      <c r="E76" s="2" t="n">
        <v>1240.94</v>
      </c>
      <c r="G76" s="2" t="inlineStr"/>
      <c r="I76" s="2" t="inlineStr"/>
      <c r="K76" s="2" t="inlineStr"/>
      <c r="L76">
        <f>IF(M76=G76,F76,IF(M76=I76,H76,J76))</f>
        <v/>
      </c>
      <c r="M76" s="2">
        <f>MIN(G76,I76,K76)</f>
        <v/>
      </c>
      <c r="N76" s="2">
        <f>D76*M76</f>
        <v/>
      </c>
      <c r="O76" s="2">
        <f>IF(ISBLANK(E76),0,D76*E76)</f>
        <v/>
      </c>
      <c r="P76" s="3">
        <f>IF(O76=0,0,(O76-N76)/O76)</f>
        <v/>
      </c>
      <c r="Q76" t="n">
        <v>60</v>
      </c>
      <c r="R76" t="inlineStr">
        <is>
          <t>LAUNCH_INVENTORY</t>
        </is>
      </c>
      <c r="S76" t="inlineStr"/>
    </row>
    <row r="77">
      <c r="A77" t="inlineStr">
        <is>
          <t>A6526</t>
        </is>
      </c>
      <c r="B77" t="inlineStr">
        <is>
          <t>S04</t>
        </is>
      </c>
      <c r="C77" t="inlineStr">
        <is>
          <t>GRADIENT COMPRESSION GARMENT, FULL LEG AND FOOT, PADDED, FOR NIGHTTIME USE, EACH</t>
        </is>
      </c>
      <c r="D77" t="n">
        <v>3</v>
      </c>
      <c r="E77" s="2" t="n">
        <v>674.84</v>
      </c>
      <c r="G77" s="2" t="inlineStr"/>
      <c r="I77" s="2" t="inlineStr"/>
      <c r="K77" s="2" t="inlineStr"/>
      <c r="L77">
        <f>IF(M77=G77,F77,IF(M77=I77,H77,J77))</f>
        <v/>
      </c>
      <c r="M77" s="2">
        <f>MIN(G77,I77,K77)</f>
        <v/>
      </c>
      <c r="N77" s="2">
        <f>D77*M77</f>
        <v/>
      </c>
      <c r="O77" s="2">
        <f>IF(ISBLANK(E77),0,D77*E77)</f>
        <v/>
      </c>
      <c r="P77" s="3">
        <f>IF(O77=0,0,(O77-N77)/O77)</f>
        <v/>
      </c>
      <c r="Q77" t="n">
        <v>60</v>
      </c>
      <c r="R77" t="inlineStr">
        <is>
          <t>LAUNCH_INVENTORY</t>
        </is>
      </c>
      <c r="S77" t="inlineStr"/>
    </row>
    <row r="78">
      <c r="A78" t="inlineStr">
        <is>
          <t>A6541</t>
        </is>
      </c>
      <c r="B78" t="inlineStr">
        <is>
          <t>S04</t>
        </is>
      </c>
      <c r="C78" t="inlineStr">
        <is>
          <t>GRADIENT COMPRESSION STOCKING, WAIST LENGTH, 40 MMHG OR GREATER, EACH</t>
        </is>
      </c>
      <c r="D78" t="n">
        <v>3</v>
      </c>
      <c r="E78" s="2" t="n">
        <v>134.58</v>
      </c>
      <c r="G78" s="2" t="inlineStr"/>
      <c r="I78" s="2" t="inlineStr"/>
      <c r="K78" s="2" t="inlineStr"/>
      <c r="L78">
        <f>IF(M78=G78,F78,IF(M78=I78,H78,J78))</f>
        <v/>
      </c>
      <c r="M78" s="2">
        <f>MIN(G78,I78,K78)</f>
        <v/>
      </c>
      <c r="N78" s="2">
        <f>D78*M78</f>
        <v/>
      </c>
      <c r="O78" s="2">
        <f>IF(ISBLANK(E78),0,D78*E78)</f>
        <v/>
      </c>
      <c r="P78" s="3">
        <f>IF(O78=0,0,(O78-N78)/O78)</f>
        <v/>
      </c>
      <c r="Q78" t="n">
        <v>60</v>
      </c>
      <c r="R78" t="inlineStr">
        <is>
          <t>LAUNCH_INVENTORY</t>
        </is>
      </c>
      <c r="S78" t="inlineStr"/>
    </row>
    <row r="79">
      <c r="A79" t="inlineStr">
        <is>
          <t>A6154</t>
        </is>
      </c>
      <c r="B79" t="inlineStr">
        <is>
          <t>S01</t>
        </is>
      </c>
      <c r="C79" t="inlineStr">
        <is>
          <t>WOUND POUCH, EACH</t>
        </is>
      </c>
      <c r="D79" t="n">
        <v>3</v>
      </c>
      <c r="E79" s="2" t="n">
        <v>20.09</v>
      </c>
      <c r="G79" s="2" t="inlineStr"/>
      <c r="I79" s="2" t="inlineStr"/>
      <c r="K79" s="2" t="inlineStr"/>
      <c r="L79">
        <f>IF(M79=G79,F79,IF(M79=I79,H79,J79))</f>
        <v/>
      </c>
      <c r="M79" s="2">
        <f>MIN(G79,I79,K79)</f>
        <v/>
      </c>
      <c r="N79" s="2">
        <f>D79*M79</f>
        <v/>
      </c>
      <c r="O79" s="2">
        <f>IF(ISBLANK(E79),0,D79*E79)</f>
        <v/>
      </c>
      <c r="P79" s="3">
        <f>IF(O79=0,0,(O79-N79)/O79)</f>
        <v/>
      </c>
      <c r="Q79" t="n">
        <v>60</v>
      </c>
      <c r="R79" t="inlineStr">
        <is>
          <t>LAUNCH_INVENTORY</t>
        </is>
      </c>
      <c r="S79" t="inlineStr"/>
    </row>
    <row r="80">
      <c r="A80" t="inlineStr">
        <is>
          <t>A6024</t>
        </is>
      </c>
      <c r="B80" t="inlineStr">
        <is>
          <t>S01</t>
        </is>
      </c>
      <c r="C80" t="inlineStr">
        <is>
          <t>COLLAGEN DRESSING WOUND FILLER, STERILE, PER 6 INCHES</t>
        </is>
      </c>
      <c r="D80" t="n">
        <v>3</v>
      </c>
      <c r="E80" s="2" t="n">
        <v>8.640000000000001</v>
      </c>
      <c r="G80" s="2" t="inlineStr"/>
      <c r="I80" s="2" t="inlineStr"/>
      <c r="K80" s="2" t="inlineStr"/>
      <c r="L80">
        <f>IF(M80=G80,F80,IF(M80=I80,H80,J80))</f>
        <v/>
      </c>
      <c r="M80" s="2">
        <f>MIN(G80,I80,K80)</f>
        <v/>
      </c>
      <c r="N80" s="2">
        <f>D80*M80</f>
        <v/>
      </c>
      <c r="O80" s="2">
        <f>IF(ISBLANK(E80),0,D80*E80)</f>
        <v/>
      </c>
      <c r="P80" s="3">
        <f>IF(O80=0,0,(O80-N80)/O80)</f>
        <v/>
      </c>
      <c r="Q80" t="n">
        <v>60</v>
      </c>
      <c r="R80" t="inlineStr">
        <is>
          <t>LAUNCH_INVENTORY</t>
        </is>
      </c>
      <c r="S80" t="inlineStr"/>
    </row>
    <row r="81">
      <c r="A81" t="inlineStr">
        <is>
          <t>A6211</t>
        </is>
      </c>
      <c r="B81" t="inlineStr">
        <is>
          <t>S01</t>
        </is>
      </c>
      <c r="C81" t="inlineStr">
        <is>
          <t>FOAM DRESSING, WOUND COVER, STERILE, PAD SIZE MORE THAN 48 SQ. IN., WITHOUT ADHESIVE BORDER, EACH DRESSING</t>
        </is>
      </c>
      <c r="D81" t="n">
        <v>3</v>
      </c>
      <c r="E81" s="2" t="n">
        <v>41.04</v>
      </c>
      <c r="G81" s="2" t="inlineStr"/>
      <c r="I81" s="2" t="inlineStr"/>
      <c r="K81" s="2" t="inlineStr"/>
      <c r="L81">
        <f>IF(M81=G81,F81,IF(M81=I81,H81,J81))</f>
        <v/>
      </c>
      <c r="M81" s="2">
        <f>MIN(G81,I81,K81)</f>
        <v/>
      </c>
      <c r="N81" s="2">
        <f>D81*M81</f>
        <v/>
      </c>
      <c r="O81" s="2">
        <f>IF(ISBLANK(E81),0,D81*E81)</f>
        <v/>
      </c>
      <c r="P81" s="3">
        <f>IF(O81=0,0,(O81-N81)/O81)</f>
        <v/>
      </c>
      <c r="Q81" t="n">
        <v>60</v>
      </c>
      <c r="R81" t="inlineStr">
        <is>
          <t>LAUNCH_INVENTORY</t>
        </is>
      </c>
      <c r="S81" t="inlineStr"/>
    </row>
    <row r="82">
      <c r="A82" t="inlineStr">
        <is>
          <t>A6553</t>
        </is>
      </c>
      <c r="B82" t="inlineStr">
        <is>
          <t>S04</t>
        </is>
      </c>
      <c r="C82" t="inlineStr">
        <is>
          <t>GRADIENT COMPRESSION STOCKING, BELOW KNEE, 30-40 MMHG, CUSTOM, EACH</t>
        </is>
      </c>
      <c r="D82" t="n">
        <v>3</v>
      </c>
      <c r="E82" s="2" t="n">
        <v>220.43</v>
      </c>
      <c r="G82" s="2" t="inlineStr"/>
      <c r="I82" s="2" t="inlineStr"/>
      <c r="K82" s="2" t="inlineStr"/>
      <c r="L82">
        <f>IF(M82=G82,F82,IF(M82=I82,H82,J82))</f>
        <v/>
      </c>
      <c r="M82" s="2">
        <f>MIN(G82,I82,K82)</f>
        <v/>
      </c>
      <c r="N82" s="2">
        <f>D82*M82</f>
        <v/>
      </c>
      <c r="O82" s="2">
        <f>IF(ISBLANK(E82),0,D82*E82)</f>
        <v/>
      </c>
      <c r="P82" s="3">
        <f>IF(O82=0,0,(O82-N82)/O82)</f>
        <v/>
      </c>
      <c r="Q82" t="n">
        <v>60</v>
      </c>
      <c r="R82" t="inlineStr">
        <is>
          <t>LAUNCH_INVENTORY</t>
        </is>
      </c>
      <c r="S82" t="inlineStr"/>
    </row>
    <row r="83">
      <c r="A83" t="inlineStr">
        <is>
          <t>K0041</t>
        </is>
      </c>
      <c r="B83" t="inlineStr">
        <is>
          <t>M06A</t>
        </is>
      </c>
      <c r="C83" t="inlineStr">
        <is>
          <t>LARGE SIZE FOOTPLATE, EACH</t>
        </is>
      </c>
      <c r="D83" t="n">
        <v>3</v>
      </c>
      <c r="E83" s="2" t="n">
        <v>58.92</v>
      </c>
      <c r="G83" s="2" t="inlineStr"/>
      <c r="I83" s="2" t="inlineStr"/>
      <c r="K83" s="2" t="inlineStr"/>
      <c r="L83">
        <f>IF(M83=G83,F83,IF(M83=I83,H83,J83))</f>
        <v/>
      </c>
      <c r="M83" s="2">
        <f>MIN(G83,I83,K83)</f>
        <v/>
      </c>
      <c r="N83" s="2">
        <f>D83*M83</f>
        <v/>
      </c>
      <c r="O83" s="2">
        <f>IF(ISBLANK(E83),0,D83*E83)</f>
        <v/>
      </c>
      <c r="P83" s="3">
        <f>IF(O83=0,0,(O83-N83)/O83)</f>
        <v/>
      </c>
      <c r="Q83" t="n">
        <v>60</v>
      </c>
      <c r="R83" t="inlineStr">
        <is>
          <t>LAUNCH_INVENTORY</t>
        </is>
      </c>
      <c r="S83" t="inlineStr"/>
    </row>
    <row r="84">
      <c r="A84" t="inlineStr">
        <is>
          <t>K0040</t>
        </is>
      </c>
      <c r="B84" t="inlineStr">
        <is>
          <t>M06A</t>
        </is>
      </c>
      <c r="C84" t="inlineStr">
        <is>
          <t>ADJUSTABLE ANGLE FOOTPLATE, EACH</t>
        </is>
      </c>
      <c r="D84" t="n">
        <v>3</v>
      </c>
      <c r="E84" s="2" t="n">
        <v>56.02</v>
      </c>
      <c r="G84" s="2" t="inlineStr"/>
      <c r="I84" s="2" t="inlineStr"/>
      <c r="K84" s="2" t="inlineStr"/>
      <c r="L84">
        <f>IF(M84=G84,F84,IF(M84=I84,H84,J84))</f>
        <v/>
      </c>
      <c r="M84" s="2">
        <f>MIN(G84,I84,K84)</f>
        <v/>
      </c>
      <c r="N84" s="2">
        <f>D84*M84</f>
        <v/>
      </c>
      <c r="O84" s="2">
        <f>IF(ISBLANK(E84),0,D84*E84)</f>
        <v/>
      </c>
      <c r="P84" s="3">
        <f>IF(O84=0,0,(O84-N84)/O84)</f>
        <v/>
      </c>
      <c r="Q84" t="n">
        <v>60</v>
      </c>
      <c r="R84" t="inlineStr">
        <is>
          <t>LAUNCH_INVENTORY</t>
        </is>
      </c>
      <c r="S84" t="inlineStr"/>
    </row>
    <row r="85">
      <c r="A85" t="inlineStr">
        <is>
          <t>K0038</t>
        </is>
      </c>
      <c r="B85" t="inlineStr">
        <is>
          <t>M06A</t>
        </is>
      </c>
      <c r="C85" t="inlineStr">
        <is>
          <t>LEG STRAP, EACH</t>
        </is>
      </c>
      <c r="D85" t="n">
        <v>3</v>
      </c>
      <c r="E85" s="2" t="n">
        <v>28.71</v>
      </c>
      <c r="G85" s="2" t="inlineStr"/>
      <c r="I85" s="2" t="inlineStr"/>
      <c r="K85" s="2" t="inlineStr"/>
      <c r="L85">
        <f>IF(M85=G85,F85,IF(M85=I85,H85,J85))</f>
        <v/>
      </c>
      <c r="M85" s="2">
        <f>MIN(G85,I85,K85)</f>
        <v/>
      </c>
      <c r="N85" s="2">
        <f>D85*M85</f>
        <v/>
      </c>
      <c r="O85" s="2">
        <f>IF(ISBLANK(E85),0,D85*E85)</f>
        <v/>
      </c>
      <c r="P85" s="3">
        <f>IF(O85=0,0,(O85-N85)/O85)</f>
        <v/>
      </c>
      <c r="Q85" t="n">
        <v>60</v>
      </c>
      <c r="R85" t="inlineStr">
        <is>
          <t>LAUNCH_INVENTORY</t>
        </is>
      </c>
      <c r="S85" t="inlineStr"/>
    </row>
    <row r="86">
      <c r="A86" t="inlineStr">
        <is>
          <t>K0071</t>
        </is>
      </c>
      <c r="B86" t="inlineStr">
        <is>
          <t>M06A</t>
        </is>
      </c>
      <c r="C86" t="inlineStr">
        <is>
          <t>FRONT CASTER ASSEMBLY, COMPLETE, WITH PNEUMATIC TIRE, REPLACEMENT ONLY, EACH</t>
        </is>
      </c>
      <c r="D86" t="n">
        <v>3</v>
      </c>
      <c r="E86" s="2" t="n">
        <v>117.41</v>
      </c>
      <c r="G86" s="2" t="inlineStr"/>
      <c r="I86" s="2" t="inlineStr"/>
      <c r="K86" s="2" t="inlineStr"/>
      <c r="L86">
        <f>IF(M86=G86,F86,IF(M86=I86,H86,J86))</f>
        <v/>
      </c>
      <c r="M86" s="2">
        <f>MIN(G86,I86,K86)</f>
        <v/>
      </c>
      <c r="N86" s="2">
        <f>D86*M86</f>
        <v/>
      </c>
      <c r="O86" s="2">
        <f>IF(ISBLANK(E86),0,D86*E86)</f>
        <v/>
      </c>
      <c r="P86" s="3">
        <f>IF(O86=0,0,(O86-N86)/O86)</f>
        <v/>
      </c>
      <c r="Q86" t="n">
        <v>60</v>
      </c>
      <c r="R86" t="inlineStr">
        <is>
          <t>LAUNCH_INVENTORY</t>
        </is>
      </c>
      <c r="S86" t="inlineStr"/>
    </row>
    <row r="87">
      <c r="A87" t="inlineStr">
        <is>
          <t>A6529</t>
        </is>
      </c>
      <c r="B87" t="inlineStr">
        <is>
          <t>S04</t>
        </is>
      </c>
      <c r="C87" t="inlineStr">
        <is>
          <t>GRADIENT COMPRESSION GARMENT, BRA, FOR NIGHTTIME USE, CUSTOM, EACH</t>
        </is>
      </c>
      <c r="D87" t="n">
        <v>3</v>
      </c>
      <c r="E87" s="2" t="n">
        <v>1025.36</v>
      </c>
      <c r="G87" s="2" t="inlineStr"/>
      <c r="I87" s="2" t="inlineStr"/>
      <c r="K87" s="2" t="inlineStr"/>
      <c r="L87">
        <f>IF(M87=G87,F87,IF(M87=I87,H87,J87))</f>
        <v/>
      </c>
      <c r="M87" s="2">
        <f>MIN(G87,I87,K87)</f>
        <v/>
      </c>
      <c r="N87" s="2">
        <f>D87*M87</f>
        <v/>
      </c>
      <c r="O87" s="2">
        <f>IF(ISBLANK(E87),0,D87*E87)</f>
        <v/>
      </c>
      <c r="P87" s="3">
        <f>IF(O87=0,0,(O87-N87)/O87)</f>
        <v/>
      </c>
      <c r="Q87" t="n">
        <v>60</v>
      </c>
      <c r="R87" t="inlineStr">
        <is>
          <t>LAUNCH_INVENTORY</t>
        </is>
      </c>
      <c r="S87" t="inlineStr"/>
    </row>
    <row r="88">
      <c r="A88" t="inlineStr">
        <is>
          <t>A6530</t>
        </is>
      </c>
      <c r="B88" t="inlineStr">
        <is>
          <t>S04</t>
        </is>
      </c>
      <c r="C88" t="inlineStr">
        <is>
          <t>GRADIENT COMPRESSION STOCKING, BELOW KNEE, 18-30 MMHG, EACH</t>
        </is>
      </c>
      <c r="D88" t="n">
        <v>3</v>
      </c>
      <c r="E88" s="2" t="n">
        <v>38.04</v>
      </c>
      <c r="G88" s="2" t="inlineStr"/>
      <c r="I88" s="2" t="inlineStr"/>
      <c r="K88" s="2" t="inlineStr"/>
      <c r="L88">
        <f>IF(M88=G88,F88,IF(M88=I88,H88,J88))</f>
        <v/>
      </c>
      <c r="M88" s="2">
        <f>MIN(G88,I88,K88)</f>
        <v/>
      </c>
      <c r="N88" s="2">
        <f>D88*M88</f>
        <v/>
      </c>
      <c r="O88" s="2">
        <f>IF(ISBLANK(E88),0,D88*E88)</f>
        <v/>
      </c>
      <c r="P88" s="3">
        <f>IF(O88=0,0,(O88-N88)/O88)</f>
        <v/>
      </c>
      <c r="Q88" t="n">
        <v>60</v>
      </c>
      <c r="R88" t="inlineStr">
        <is>
          <t>LAUNCH_INVENTORY</t>
        </is>
      </c>
      <c r="S88" t="inlineStr"/>
    </row>
    <row r="89">
      <c r="A89" t="inlineStr">
        <is>
          <t>A6537</t>
        </is>
      </c>
      <c r="B89" t="inlineStr">
        <is>
          <t>S04</t>
        </is>
      </c>
      <c r="C89" t="inlineStr">
        <is>
          <t>GRADIENT COMPRESSION STOCKING, FULL LENGTH/CHAP STYLE, 30-40 MMHG, EACH</t>
        </is>
      </c>
      <c r="D89" t="n">
        <v>3</v>
      </c>
      <c r="E89" s="2" t="n">
        <v>85.37</v>
      </c>
      <c r="G89" s="2" t="inlineStr"/>
      <c r="I89" s="2" t="inlineStr"/>
      <c r="K89" s="2" t="inlineStr"/>
      <c r="L89">
        <f>IF(M89=G89,F89,IF(M89=I89,H89,J89))</f>
        <v/>
      </c>
      <c r="M89" s="2">
        <f>MIN(G89,I89,K89)</f>
        <v/>
      </c>
      <c r="N89" s="2">
        <f>D89*M89</f>
        <v/>
      </c>
      <c r="O89" s="2">
        <f>IF(ISBLANK(E89),0,D89*E89)</f>
        <v/>
      </c>
      <c r="P89" s="3">
        <f>IF(O89=0,0,(O89-N89)/O89)</f>
        <v/>
      </c>
      <c r="Q89" t="n">
        <v>60</v>
      </c>
      <c r="R89" t="inlineStr">
        <is>
          <t>LAUNCH_INVENTORY</t>
        </is>
      </c>
      <c r="S89" t="inlineStr"/>
    </row>
    <row r="90">
      <c r="A90" t="inlineStr">
        <is>
          <t>A6538</t>
        </is>
      </c>
      <c r="B90" t="inlineStr">
        <is>
          <t>S04</t>
        </is>
      </c>
      <c r="C90" t="inlineStr">
        <is>
          <t>GRADIENT COMPRESSION STOCKING, FULL LENGTH/CHAP STYLE, 40 MMHG OR GREATER, EACH</t>
        </is>
      </c>
      <c r="D90" t="n">
        <v>3</v>
      </c>
      <c r="E90" s="2" t="n">
        <v>99.95</v>
      </c>
      <c r="G90" s="2" t="inlineStr"/>
      <c r="I90" s="2" t="inlineStr"/>
      <c r="K90" s="2" t="inlineStr"/>
      <c r="L90">
        <f>IF(M90=G90,F90,IF(M90=I90,H90,J90))</f>
        <v/>
      </c>
      <c r="M90" s="2">
        <f>MIN(G90,I90,K90)</f>
        <v/>
      </c>
      <c r="N90" s="2">
        <f>D90*M90</f>
        <v/>
      </c>
      <c r="O90" s="2">
        <f>IF(ISBLANK(E90),0,D90*E90)</f>
        <v/>
      </c>
      <c r="P90" s="3">
        <f>IF(O90=0,0,(O90-N90)/O90)</f>
        <v/>
      </c>
      <c r="Q90" t="n">
        <v>60</v>
      </c>
      <c r="R90" t="inlineStr">
        <is>
          <t>LAUNCH_INVENTORY</t>
        </is>
      </c>
      <c r="S90" t="inlineStr"/>
    </row>
    <row r="91">
      <c r="A91" t="inlineStr">
        <is>
          <t>A6522</t>
        </is>
      </c>
      <c r="B91" t="inlineStr">
        <is>
          <t>S04</t>
        </is>
      </c>
      <c r="C91" t="inlineStr">
        <is>
          <t>GRADIENT COMPRESSION GARMENT, ARM, PADDED, FOR NIGHTTIME USE, EACH</t>
        </is>
      </c>
      <c r="D91" t="n">
        <v>3</v>
      </c>
      <c r="E91" s="2" t="n">
        <v>299.18</v>
      </c>
      <c r="G91" s="2" t="inlineStr"/>
      <c r="I91" s="2" t="inlineStr"/>
      <c r="K91" s="2" t="inlineStr"/>
      <c r="L91">
        <f>IF(M91=G91,F91,IF(M91=I91,H91,J91))</f>
        <v/>
      </c>
      <c r="M91" s="2">
        <f>MIN(G91,I91,K91)</f>
        <v/>
      </c>
      <c r="N91" s="2">
        <f>D91*M91</f>
        <v/>
      </c>
      <c r="O91" s="2">
        <f>IF(ISBLANK(E91),0,D91*E91)</f>
        <v/>
      </c>
      <c r="P91" s="3">
        <f>IF(O91=0,0,(O91-N91)/O91)</f>
        <v/>
      </c>
      <c r="Q91" t="n">
        <v>60</v>
      </c>
      <c r="R91" t="inlineStr">
        <is>
          <t>LAUNCH_INVENTORY</t>
        </is>
      </c>
      <c r="S91" t="inlineStr"/>
    </row>
    <row r="92">
      <c r="A92" t="inlineStr">
        <is>
          <t>A6521</t>
        </is>
      </c>
      <c r="B92" t="inlineStr">
        <is>
          <t>S04</t>
        </is>
      </c>
      <c r="C92" t="inlineStr">
        <is>
          <t>GRADIENT COMPRESSION GARMENT, GLOVE, PADDED, FOR NIGHTTIME USE, CUSTOM, EACH</t>
        </is>
      </c>
      <c r="D92" t="n">
        <v>3</v>
      </c>
      <c r="E92" s="2" t="n">
        <v>488.56</v>
      </c>
      <c r="G92" s="2" t="inlineStr"/>
      <c r="I92" s="2" t="inlineStr"/>
      <c r="K92" s="2" t="inlineStr"/>
      <c r="L92">
        <f>IF(M92=G92,F92,IF(M92=I92,H92,J92))</f>
        <v/>
      </c>
      <c r="M92" s="2">
        <f>MIN(G92,I92,K92)</f>
        <v/>
      </c>
      <c r="N92" s="2">
        <f>D92*M92</f>
        <v/>
      </c>
      <c r="O92" s="2">
        <f>IF(ISBLANK(E92),0,D92*E92)</f>
        <v/>
      </c>
      <c r="P92" s="3">
        <f>IF(O92=0,0,(O92-N92)/O92)</f>
        <v/>
      </c>
      <c r="Q92" t="n">
        <v>60</v>
      </c>
      <c r="R92" t="inlineStr">
        <is>
          <t>LAUNCH_INVENTORY</t>
        </is>
      </c>
      <c r="S92" t="inlineStr"/>
    </row>
    <row r="93">
      <c r="A93" t="inlineStr">
        <is>
          <t>A6520</t>
        </is>
      </c>
      <c r="B93" t="inlineStr">
        <is>
          <t>S04</t>
        </is>
      </c>
      <c r="C93" t="inlineStr">
        <is>
          <t>GRADIENT COMPRESSION GARMENT, GLOVE, PADDED, FOR NIGHTTIME USE, EACH</t>
        </is>
      </c>
      <c r="D93" t="n">
        <v>3</v>
      </c>
      <c r="E93" s="2" t="n">
        <v>123.13</v>
      </c>
      <c r="G93" s="2" t="inlineStr"/>
      <c r="I93" s="2" t="inlineStr"/>
      <c r="K93" s="2" t="inlineStr"/>
      <c r="L93">
        <f>IF(M93=G93,F93,IF(M93=I93,H93,J93))</f>
        <v/>
      </c>
      <c r="M93" s="2">
        <f>MIN(G93,I93,K93)</f>
        <v/>
      </c>
      <c r="N93" s="2">
        <f>D93*M93</f>
        <v/>
      </c>
      <c r="O93" s="2">
        <f>IF(ISBLANK(E93),0,D93*E93)</f>
        <v/>
      </c>
      <c r="P93" s="3">
        <f>IF(O93=0,0,(O93-N93)/O93)</f>
        <v/>
      </c>
      <c r="Q93" t="n">
        <v>60</v>
      </c>
      <c r="R93" t="inlineStr">
        <is>
          <t>LAUNCH_INVENTORY</t>
        </is>
      </c>
      <c r="S93" t="inlineStr"/>
    </row>
    <row r="94">
      <c r="A94" t="inlineStr">
        <is>
          <t>A6535</t>
        </is>
      </c>
      <c r="B94" t="inlineStr">
        <is>
          <t>S04</t>
        </is>
      </c>
      <c r="C94" t="inlineStr">
        <is>
          <t>GRADIENT COMPRESSION STOCKING, THIGH LENGTH, 40 MMHG OR GREATER, EACH</t>
        </is>
      </c>
      <c r="D94" t="n">
        <v>3</v>
      </c>
      <c r="E94" s="2" t="n">
        <v>70.23</v>
      </c>
      <c r="G94" s="2" t="inlineStr"/>
      <c r="I94" s="2" t="inlineStr"/>
      <c r="K94" s="2" t="inlineStr"/>
      <c r="L94">
        <f>IF(M94=G94,F94,IF(M94=I94,H94,J94))</f>
        <v/>
      </c>
      <c r="M94" s="2">
        <f>MIN(G94,I94,K94)</f>
        <v/>
      </c>
      <c r="N94" s="2">
        <f>D94*M94</f>
        <v/>
      </c>
      <c r="O94" s="2">
        <f>IF(ISBLANK(E94),0,D94*E94)</f>
        <v/>
      </c>
      <c r="P94" s="3">
        <f>IF(O94=0,0,(O94-N94)/O94)</f>
        <v/>
      </c>
      <c r="Q94" t="n">
        <v>60</v>
      </c>
      <c r="R94" t="inlineStr">
        <is>
          <t>LAUNCH_INVENTORY</t>
        </is>
      </c>
      <c r="S94" t="inlineStr"/>
    </row>
    <row r="95">
      <c r="A95" t="inlineStr">
        <is>
          <t>A6536</t>
        </is>
      </c>
      <c r="B95" t="inlineStr">
        <is>
          <t>S04</t>
        </is>
      </c>
      <c r="C95" t="inlineStr">
        <is>
          <t>GRADIENT COMPRESSION STOCKING, FULL LENGTH/CHAP STYLE, 18-30 MMHG, EACH</t>
        </is>
      </c>
      <c r="D95" t="n">
        <v>3</v>
      </c>
      <c r="E95" s="2" t="n">
        <v>72.01000000000001</v>
      </c>
      <c r="G95" s="2" t="inlineStr"/>
      <c r="I95" s="2" t="inlineStr"/>
      <c r="K95" s="2" t="inlineStr"/>
      <c r="L95">
        <f>IF(M95=G95,F95,IF(M95=I95,H95,J95))</f>
        <v/>
      </c>
      <c r="M95" s="2">
        <f>MIN(G95,I95,K95)</f>
        <v/>
      </c>
      <c r="N95" s="2">
        <f>D95*M95</f>
        <v/>
      </c>
      <c r="O95" s="2">
        <f>IF(ISBLANK(E95),0,D95*E95)</f>
        <v/>
      </c>
      <c r="P95" s="3">
        <f>IF(O95=0,0,(O95-N95)/O95)</f>
        <v/>
      </c>
      <c r="Q95" t="n">
        <v>60</v>
      </c>
      <c r="R95" t="inlineStr">
        <is>
          <t>LAUNCH_INVENTORY</t>
        </is>
      </c>
      <c r="S95" t="inlineStr"/>
    </row>
    <row r="96">
      <c r="A96" t="inlineStr">
        <is>
          <t>A6545</t>
        </is>
      </c>
      <c r="B96" t="inlineStr">
        <is>
          <t>S01</t>
        </is>
      </c>
      <c r="C96" t="inlineStr">
        <is>
          <t>GRADIENT COMPRESSION WRAP, NON-ELASTIC, BELOW KNEE, 30-50 MMHG, USED AS A SURGICAL DRESSING, EACH</t>
        </is>
      </c>
      <c r="D96" t="n">
        <v>3</v>
      </c>
      <c r="E96" s="2" t="n">
        <v>119.03</v>
      </c>
      <c r="G96" s="2" t="inlineStr"/>
      <c r="I96" s="2" t="inlineStr"/>
      <c r="K96" s="2" t="inlineStr"/>
      <c r="L96">
        <f>IF(M96=G96,F96,IF(M96=I96,H96,J96))</f>
        <v/>
      </c>
      <c r="M96" s="2">
        <f>MIN(G96,I96,K96)</f>
        <v/>
      </c>
      <c r="N96" s="2">
        <f>D96*M96</f>
        <v/>
      </c>
      <c r="O96" s="2">
        <f>IF(ISBLANK(E96),0,D96*E96)</f>
        <v/>
      </c>
      <c r="P96" s="3">
        <f>IF(O96=0,0,(O96-N96)/O96)</f>
        <v/>
      </c>
      <c r="Q96" t="n">
        <v>60</v>
      </c>
      <c r="R96" t="inlineStr">
        <is>
          <t>LAUNCH_INVENTORY</t>
        </is>
      </c>
      <c r="S96" t="inlineStr"/>
    </row>
    <row r="97">
      <c r="A97" t="inlineStr">
        <is>
          <t>A4450</t>
        </is>
      </c>
      <c r="B97" t="inlineStr">
        <is>
          <t>S01</t>
        </is>
      </c>
      <c r="C97" t="inlineStr">
        <is>
          <t>TAPE, NON-WATERPROOF, PER 18 SQUARE INCHES</t>
        </is>
      </c>
      <c r="D97" t="n">
        <v>3</v>
      </c>
      <c r="E97" s="2" t="n">
        <v>0.1</v>
      </c>
      <c r="G97" s="2" t="inlineStr"/>
      <c r="I97" s="2" t="inlineStr"/>
      <c r="K97" s="2" t="inlineStr"/>
      <c r="L97">
        <f>IF(M97=G97,F97,IF(M97=I97,H97,J97))</f>
        <v/>
      </c>
      <c r="M97" s="2">
        <f>MIN(G97,I97,K97)</f>
        <v/>
      </c>
      <c r="N97" s="2">
        <f>D97*M97</f>
        <v/>
      </c>
      <c r="O97" s="2">
        <f>IF(ISBLANK(E97),0,D97*E97)</f>
        <v/>
      </c>
      <c r="P97" s="3">
        <f>IF(O97=0,0,(O97-N97)/O97)</f>
        <v/>
      </c>
      <c r="Q97" t="n">
        <v>60</v>
      </c>
      <c r="R97" t="inlineStr">
        <is>
          <t>LAUNCH_INVENTORY</t>
        </is>
      </c>
      <c r="S97" t="inlineStr"/>
    </row>
    <row r="98">
      <c r="A98" t="inlineStr">
        <is>
          <t>A6023</t>
        </is>
      </c>
      <c r="B98" t="inlineStr">
        <is>
          <t>S01</t>
        </is>
      </c>
      <c r="C98" t="inlineStr">
        <is>
          <t>COLLAGEN DRESSING, STERILE, SIZE MORE THAN 48 SQ. IN., EACH</t>
        </is>
      </c>
      <c r="D98" t="n">
        <v>3</v>
      </c>
      <c r="E98" s="2" t="n">
        <v>265.9</v>
      </c>
      <c r="G98" s="2" t="inlineStr"/>
      <c r="I98" s="2" t="inlineStr"/>
      <c r="K98" s="2" t="inlineStr"/>
      <c r="L98">
        <f>IF(M98=G98,F98,IF(M98=I98,H98,J98))</f>
        <v/>
      </c>
      <c r="M98" s="2">
        <f>MIN(G98,I98,K98)</f>
        <v/>
      </c>
      <c r="N98" s="2">
        <f>D98*M98</f>
        <v/>
      </c>
      <c r="O98" s="2">
        <f>IF(ISBLANK(E98),0,D98*E98)</f>
        <v/>
      </c>
      <c r="P98" s="3">
        <f>IF(O98=0,0,(O98-N98)/O98)</f>
        <v/>
      </c>
      <c r="Q98" t="n">
        <v>60</v>
      </c>
      <c r="R98" t="inlineStr">
        <is>
          <t>LAUNCH_INVENTORY</t>
        </is>
      </c>
      <c r="S98" t="inlineStr"/>
    </row>
    <row r="99">
      <c r="A99" t="inlineStr">
        <is>
          <t>A6229</t>
        </is>
      </c>
      <c r="B99" t="inlineStr">
        <is>
          <t>S01</t>
        </is>
      </c>
      <c r="C99" t="inlineStr">
        <is>
          <t>GAUZE, IMPREGNATED, WATER OR NORMAL SALINE, STERILE, PAD SIZE MORE THAN 16 SQ. IN. BUT LESS THAN OR EQUAL TO 48 SQ. IN., WITHOUT ADHESIVE BORDER, EACH DRESSING</t>
        </is>
      </c>
      <c r="D99" t="n">
        <v>3</v>
      </c>
      <c r="E99" s="2" t="n">
        <v>5.03</v>
      </c>
      <c r="G99" s="2" t="inlineStr"/>
      <c r="I99" s="2" t="inlineStr"/>
      <c r="K99" s="2" t="inlineStr"/>
      <c r="L99">
        <f>IF(M99=G99,F99,IF(M99=I99,H99,J99))</f>
        <v/>
      </c>
      <c r="M99" s="2">
        <f>MIN(G99,I99,K99)</f>
        <v/>
      </c>
      <c r="N99" s="2">
        <f>D99*M99</f>
        <v/>
      </c>
      <c r="O99" s="2">
        <f>IF(ISBLANK(E99),0,D99*E99)</f>
        <v/>
      </c>
      <c r="P99" s="3">
        <f>IF(O99=0,0,(O99-N99)/O99)</f>
        <v/>
      </c>
      <c r="Q99" t="n">
        <v>60</v>
      </c>
      <c r="R99" t="inlineStr">
        <is>
          <t>LAUNCH_INVENTORY</t>
        </is>
      </c>
      <c r="S99" t="inlineStr"/>
    </row>
    <row r="100">
      <c r="A100" t="inlineStr">
        <is>
          <t>A6224</t>
        </is>
      </c>
      <c r="B100" t="inlineStr">
        <is>
          <t>S01</t>
        </is>
      </c>
      <c r="C100" t="inlineStr">
        <is>
          <t>GAUZE, IMPREGNATED WITH OTHER THAN WATER, NORMAL SALINE, OR HYDROGEL, STERILE, PAD SIZE MORE THAN 48 SQ. IN., WITHOUT ADHESIVE BORDER, EACH DRESSING</t>
        </is>
      </c>
      <c r="D100" t="n">
        <v>3</v>
      </c>
      <c r="E100" s="2" t="n">
        <v>5.03</v>
      </c>
      <c r="G100" s="2" t="inlineStr"/>
      <c r="I100" s="2" t="inlineStr"/>
      <c r="K100" s="2" t="inlineStr"/>
      <c r="L100">
        <f>IF(M100=G100,F100,IF(M100=I100,H100,J100))</f>
        <v/>
      </c>
      <c r="M100" s="2">
        <f>MIN(G100,I100,K100)</f>
        <v/>
      </c>
      <c r="N100" s="2">
        <f>D100*M100</f>
        <v/>
      </c>
      <c r="O100" s="2">
        <f>IF(ISBLANK(E100),0,D100*E100)</f>
        <v/>
      </c>
      <c r="P100" s="3">
        <f>IF(O100=0,0,(O100-N100)/O100)</f>
        <v/>
      </c>
      <c r="Q100" t="n">
        <v>60</v>
      </c>
      <c r="R100" t="inlineStr">
        <is>
          <t>LAUNCH_INVENTORY</t>
        </is>
      </c>
      <c r="S100" t="inlineStr"/>
    </row>
    <row r="101">
      <c r="A101" t="inlineStr">
        <is>
          <t>A6223</t>
        </is>
      </c>
      <c r="B101" t="inlineStr">
        <is>
          <t>S01</t>
        </is>
      </c>
      <c r="C101" t="inlineStr">
        <is>
          <t>GAUZE, IMPREGNATED WITH OTHER THAN WATER, NORMAL SALINE, OR HYDROGEL, STERILE, PAD SIZE MORE THAN 16 SQ. IN., BUT LESS THAN OR EQUAL TO 48 SQ. IN., WITHOUT ADHESIVE BORDER, EACH DRESSING</t>
        </is>
      </c>
      <c r="D101" t="n">
        <v>3</v>
      </c>
      <c r="E101" s="2" t="n">
        <v>3.39</v>
      </c>
      <c r="G101" s="2" t="inlineStr"/>
      <c r="I101" s="2" t="inlineStr"/>
      <c r="K101" s="2" t="inlineStr"/>
      <c r="L101">
        <f>IF(M101=G101,F101,IF(M101=I101,H101,J101))</f>
        <v/>
      </c>
      <c r="M101" s="2">
        <f>MIN(G101,I101,K101)</f>
        <v/>
      </c>
      <c r="N101" s="2">
        <f>D101*M101</f>
        <v/>
      </c>
      <c r="O101" s="2">
        <f>IF(ISBLANK(E101),0,D101*E101)</f>
        <v/>
      </c>
      <c r="P101" s="3">
        <f>IF(O101=0,0,(O101-N101)/O101)</f>
        <v/>
      </c>
      <c r="Q101" t="n">
        <v>60</v>
      </c>
      <c r="R101" t="inlineStr">
        <is>
          <t>LAUNCH_INVENTORY</t>
        </is>
      </c>
      <c r="S101" t="inlineStr"/>
    </row>
    <row r="102">
      <c r="A102" t="inlineStr">
        <is>
          <t>A6222</t>
        </is>
      </c>
      <c r="B102" t="inlineStr">
        <is>
          <t>S01</t>
        </is>
      </c>
      <c r="C102" t="inlineStr">
        <is>
          <t>GAUZE, IMPREGNATED WITH OTHER THAN WATER, NORMAL SALINE, OR HYDROGEL, STERILE, PAD SIZE 16 SQ. IN. OR LESS, WITHOUT ADHESIVE BORDER, EACH DRESSING</t>
        </is>
      </c>
      <c r="D102" t="n">
        <v>3</v>
      </c>
      <c r="E102" s="2" t="n">
        <v>2.98</v>
      </c>
      <c r="G102" s="2" t="inlineStr"/>
      <c r="I102" s="2" t="inlineStr"/>
      <c r="K102" s="2" t="inlineStr"/>
      <c r="L102">
        <f>IF(M102=G102,F102,IF(M102=I102,H102,J102))</f>
        <v/>
      </c>
      <c r="M102" s="2">
        <f>MIN(G102,I102,K102)</f>
        <v/>
      </c>
      <c r="N102" s="2">
        <f>D102*M102</f>
        <v/>
      </c>
      <c r="O102" s="2">
        <f>IF(ISBLANK(E102),0,D102*E102)</f>
        <v/>
      </c>
      <c r="P102" s="3">
        <f>IF(O102=0,0,(O102-N102)/O102)</f>
        <v/>
      </c>
      <c r="Q102" t="n">
        <v>60</v>
      </c>
      <c r="R102" t="inlineStr">
        <is>
          <t>LAUNCH_INVENTORY</t>
        </is>
      </c>
      <c r="S102" t="inlineStr"/>
    </row>
    <row r="103">
      <c r="A103" t="inlineStr">
        <is>
          <t>A6220</t>
        </is>
      </c>
      <c r="B103" t="inlineStr">
        <is>
          <t>S01</t>
        </is>
      </c>
      <c r="C103" t="inlineStr">
        <is>
          <t>GAUZE, NON-IMPREGNATED, STERILE, PAD SIZE MORE THAN 16 SQ. IN. BUT LESS THAN OR EQUAL TO 48 SQ. IN., WITH ANY SIZE ADHESIVE BORDER, EACH DRESSING</t>
        </is>
      </c>
      <c r="D103" t="n">
        <v>3</v>
      </c>
      <c r="E103" s="2" t="n">
        <v>3.62</v>
      </c>
      <c r="G103" s="2" t="inlineStr"/>
      <c r="I103" s="2" t="inlineStr"/>
      <c r="K103" s="2" t="inlineStr"/>
      <c r="L103">
        <f>IF(M103=G103,F103,IF(M103=I103,H103,J103))</f>
        <v/>
      </c>
      <c r="M103" s="2">
        <f>MIN(G103,I103,K103)</f>
        <v/>
      </c>
      <c r="N103" s="2">
        <f>D103*M103</f>
        <v/>
      </c>
      <c r="O103" s="2">
        <f>IF(ISBLANK(E103),0,D103*E103)</f>
        <v/>
      </c>
      <c r="P103" s="3">
        <f>IF(O103=0,0,(O103-N103)/O103)</f>
        <v/>
      </c>
      <c r="Q103" t="n">
        <v>60</v>
      </c>
      <c r="R103" t="inlineStr">
        <is>
          <t>LAUNCH_INVENTORY</t>
        </is>
      </c>
      <c r="S103" t="inlineStr"/>
    </row>
    <row r="104">
      <c r="A104" t="inlineStr">
        <is>
          <t>A6238</t>
        </is>
      </c>
      <c r="B104" t="inlineStr">
        <is>
          <t>S01</t>
        </is>
      </c>
      <c r="C104" t="inlineStr">
        <is>
          <t>HYDROCOLLOID DRESSING, WOUND COVER, STERILE, PAD SIZE MORE THAN 16 SQ. IN. BUT LESS THAN OR EQUAL TO 48 SQ. IN., WITH ANY SIZE ADHESIVE BORDER, EACH DRESSING</t>
        </is>
      </c>
      <c r="D104" t="n">
        <v>3</v>
      </c>
      <c r="E104" s="2" t="n">
        <v>31.86</v>
      </c>
      <c r="G104" s="2" t="inlineStr"/>
      <c r="I104" s="2" t="inlineStr"/>
      <c r="K104" s="2" t="inlineStr"/>
      <c r="L104">
        <f>IF(M104=G104,F104,IF(M104=I104,H104,J104))</f>
        <v/>
      </c>
      <c r="M104" s="2">
        <f>MIN(G104,I104,K104)</f>
        <v/>
      </c>
      <c r="N104" s="2">
        <f>D104*M104</f>
        <v/>
      </c>
      <c r="O104" s="2">
        <f>IF(ISBLANK(E104),0,D104*E104)</f>
        <v/>
      </c>
      <c r="P104" s="3">
        <f>IF(O104=0,0,(O104-N104)/O104)</f>
        <v/>
      </c>
      <c r="Q104" t="n">
        <v>60</v>
      </c>
      <c r="R104" t="inlineStr">
        <is>
          <t>LAUNCH_INVENTORY</t>
        </is>
      </c>
      <c r="S104" t="inlineStr"/>
    </row>
    <row r="105">
      <c r="A105" t="inlineStr">
        <is>
          <t>A6216</t>
        </is>
      </c>
      <c r="B105" t="inlineStr">
        <is>
          <t>S01</t>
        </is>
      </c>
      <c r="C105" t="inlineStr">
        <is>
          <t>GAUZE, NON-IMPREGNATED, NON-STERILE, PAD SIZE 16 SQ. IN. OR LESS, WITHOUT ADHESIVE BORDER, EACH DRESSING</t>
        </is>
      </c>
      <c r="D105" t="n">
        <v>3</v>
      </c>
      <c r="E105" s="2" t="n">
        <v>0.05</v>
      </c>
      <c r="G105" s="2" t="inlineStr"/>
      <c r="I105" s="2" t="inlineStr"/>
      <c r="K105" s="2" t="inlineStr"/>
      <c r="L105">
        <f>IF(M105=G105,F105,IF(M105=I105,H105,J105))</f>
        <v/>
      </c>
      <c r="M105" s="2">
        <f>MIN(G105,I105,K105)</f>
        <v/>
      </c>
      <c r="N105" s="2">
        <f>D105*M105</f>
        <v/>
      </c>
      <c r="O105" s="2">
        <f>IF(ISBLANK(E105),0,D105*E105)</f>
        <v/>
      </c>
      <c r="P105" s="3">
        <f>IF(O105=0,0,(O105-N105)/O105)</f>
        <v/>
      </c>
      <c r="Q105" t="n">
        <v>60</v>
      </c>
      <c r="R105" t="inlineStr">
        <is>
          <t>LAUNCH_INVENTORY</t>
        </is>
      </c>
      <c r="S105" t="inlineStr"/>
    </row>
    <row r="106">
      <c r="A106" t="inlineStr">
        <is>
          <t>A6534</t>
        </is>
      </c>
      <c r="B106" t="inlineStr">
        <is>
          <t>S04</t>
        </is>
      </c>
      <c r="C106" t="inlineStr">
        <is>
          <t>GRADIENT COMPRESSION STOCKING, THIGH LENGTH, 30-40 MMHG, EACH</t>
        </is>
      </c>
      <c r="D106" t="n">
        <v>3</v>
      </c>
      <c r="E106" s="2" t="n">
        <v>61</v>
      </c>
      <c r="G106" s="2" t="inlineStr"/>
      <c r="I106" s="2" t="inlineStr"/>
      <c r="K106" s="2" t="inlineStr"/>
      <c r="L106">
        <f>IF(M106=G106,F106,IF(M106=I106,H106,J106))</f>
        <v/>
      </c>
      <c r="M106" s="2">
        <f>MIN(G106,I106,K106)</f>
        <v/>
      </c>
      <c r="N106" s="2">
        <f>D106*M106</f>
        <v/>
      </c>
      <c r="O106" s="2">
        <f>IF(ISBLANK(E106),0,D106*E106)</f>
        <v/>
      </c>
      <c r="P106" s="3">
        <f>IF(O106=0,0,(O106-N106)/O106)</f>
        <v/>
      </c>
      <c r="Q106" t="n">
        <v>60</v>
      </c>
      <c r="R106" t="inlineStr">
        <is>
          <t>LAUNCH_INVENTORY</t>
        </is>
      </c>
      <c r="S106" t="inlineStr"/>
    </row>
    <row r="107">
      <c r="A107" t="inlineStr">
        <is>
          <t>A6541</t>
        </is>
      </c>
      <c r="B107" t="inlineStr">
        <is>
          <t>S01</t>
        </is>
      </c>
      <c r="C107" t="inlineStr">
        <is>
          <t>GRADIENT COMPRESSION STOCKING, WAIST LENGTH, 40 MMHG OR GREATER, EACH</t>
        </is>
      </c>
      <c r="D107" t="n">
        <v>3</v>
      </c>
      <c r="E107" s="2" t="n">
        <v>134.58</v>
      </c>
      <c r="G107" s="2" t="inlineStr"/>
      <c r="I107" s="2" t="inlineStr"/>
      <c r="K107" s="2" t="inlineStr"/>
      <c r="L107">
        <f>IF(M107=G107,F107,IF(M107=I107,H107,J107))</f>
        <v/>
      </c>
      <c r="M107" s="2">
        <f>MIN(G107,I107,K107)</f>
        <v/>
      </c>
      <c r="N107" s="2">
        <f>D107*M107</f>
        <v/>
      </c>
      <c r="O107" s="2">
        <f>IF(ISBLANK(E107),0,D107*E107)</f>
        <v/>
      </c>
      <c r="P107" s="3">
        <f>IF(O107=0,0,(O107-N107)/O107)</f>
        <v/>
      </c>
      <c r="Q107" t="n">
        <v>60</v>
      </c>
      <c r="R107" t="inlineStr">
        <is>
          <t>LAUNCH_INVENTORY</t>
        </is>
      </c>
      <c r="S107" t="inlineStr"/>
    </row>
    <row r="108">
      <c r="A108" t="inlineStr">
        <is>
          <t>A6540</t>
        </is>
      </c>
      <c r="B108" t="inlineStr">
        <is>
          <t>S01</t>
        </is>
      </c>
      <c r="C108" t="inlineStr">
        <is>
          <t>GRADIENT COMPRESSION STOCKING, WAIST LENGTH, 30-40 MMHG, EACH</t>
        </is>
      </c>
      <c r="D108" t="n">
        <v>3</v>
      </c>
      <c r="E108" s="2" t="n">
        <v>113.61</v>
      </c>
      <c r="G108" s="2" t="inlineStr"/>
      <c r="I108" s="2" t="inlineStr"/>
      <c r="K108" s="2" t="inlineStr"/>
      <c r="L108">
        <f>IF(M108=G108,F108,IF(M108=I108,H108,J108))</f>
        <v/>
      </c>
      <c r="M108" s="2">
        <f>MIN(G108,I108,K108)</f>
        <v/>
      </c>
      <c r="N108" s="2">
        <f>D108*M108</f>
        <v/>
      </c>
      <c r="O108" s="2">
        <f>IF(ISBLANK(E108),0,D108*E108)</f>
        <v/>
      </c>
      <c r="P108" s="3">
        <f>IF(O108=0,0,(O108-N108)/O108)</f>
        <v/>
      </c>
      <c r="Q108" t="n">
        <v>60</v>
      </c>
      <c r="R108" t="inlineStr">
        <is>
          <t>LAUNCH_INVENTORY</t>
        </is>
      </c>
      <c r="S108" t="inlineStr"/>
    </row>
    <row r="109">
      <c r="A109" t="inlineStr">
        <is>
          <t>A6525</t>
        </is>
      </c>
      <c r="B109" t="inlineStr">
        <is>
          <t>S04</t>
        </is>
      </c>
      <c r="C109" t="inlineStr">
        <is>
          <t>GRADIENT COMPRESSION GARMENT, LOWER LEG AND FOOT, PADDED, FOR NIGHTTIME USE, CUSTOM, EACH</t>
        </is>
      </c>
      <c r="D109" t="n">
        <v>3</v>
      </c>
      <c r="E109" s="2" t="n">
        <v>753.55</v>
      </c>
      <c r="G109" s="2" t="inlineStr"/>
      <c r="I109" s="2" t="inlineStr"/>
      <c r="K109" s="2" t="inlineStr"/>
      <c r="L109">
        <f>IF(M109=G109,F109,IF(M109=I109,H109,J109))</f>
        <v/>
      </c>
      <c r="M109" s="2">
        <f>MIN(G109,I109,K109)</f>
        <v/>
      </c>
      <c r="N109" s="2">
        <f>D109*M109</f>
        <v/>
      </c>
      <c r="O109" s="2">
        <f>IF(ISBLANK(E109),0,D109*E109)</f>
        <v/>
      </c>
      <c r="P109" s="3">
        <f>IF(O109=0,0,(O109-N109)/O109)</f>
        <v/>
      </c>
      <c r="Q109" t="n">
        <v>60</v>
      </c>
      <c r="R109" t="inlineStr">
        <is>
          <t>LAUNCH_INVENTORY</t>
        </is>
      </c>
      <c r="S109" t="inlineStr"/>
    </row>
    <row r="110">
      <c r="A110" t="inlineStr">
        <is>
          <t>A6524</t>
        </is>
      </c>
      <c r="B110" t="inlineStr">
        <is>
          <t>S04</t>
        </is>
      </c>
      <c r="C110" t="inlineStr">
        <is>
          <t>GRADIENT COMPRESSION GARMENT, LOWER LEG AND FOOT, PADDED, FOR NIGHTTIME USE, EACH</t>
        </is>
      </c>
      <c r="D110" t="n">
        <v>3</v>
      </c>
      <c r="E110" s="2" t="n">
        <v>373.26</v>
      </c>
      <c r="G110" s="2" t="inlineStr"/>
      <c r="I110" s="2" t="inlineStr"/>
      <c r="K110" s="2" t="inlineStr"/>
      <c r="L110">
        <f>IF(M110=G110,F110,IF(M110=I110,H110,J110))</f>
        <v/>
      </c>
      <c r="M110" s="2">
        <f>MIN(G110,I110,K110)</f>
        <v/>
      </c>
      <c r="N110" s="2">
        <f>D110*M110</f>
        <v/>
      </c>
      <c r="O110" s="2">
        <f>IF(ISBLANK(E110),0,D110*E110)</f>
        <v/>
      </c>
      <c r="P110" s="3">
        <f>IF(O110=0,0,(O110-N110)/O110)</f>
        <v/>
      </c>
      <c r="Q110" t="n">
        <v>60</v>
      </c>
      <c r="R110" t="inlineStr">
        <is>
          <t>LAUNCH_INVENTORY</t>
        </is>
      </c>
      <c r="S110" t="inlineStr"/>
    </row>
    <row r="111">
      <c r="A111" t="inlineStr">
        <is>
          <t>A6523</t>
        </is>
      </c>
      <c r="B111" t="inlineStr">
        <is>
          <t>S04</t>
        </is>
      </c>
      <c r="C111" t="inlineStr">
        <is>
          <t>GRADIENT COMPRESSION GARMENT, ARM, PADDED, FOR NIGHTTIME USE, CUSTOM, EACH</t>
        </is>
      </c>
      <c r="D111" t="n">
        <v>3</v>
      </c>
      <c r="E111" s="2" t="n">
        <v>709.85</v>
      </c>
      <c r="G111" s="2" t="inlineStr"/>
      <c r="I111" s="2" t="inlineStr"/>
      <c r="K111" s="2" t="inlineStr"/>
      <c r="L111">
        <f>IF(M111=G111,F111,IF(M111=I111,H111,J111))</f>
        <v/>
      </c>
      <c r="M111" s="2">
        <f>MIN(G111,I111,K111)</f>
        <v/>
      </c>
      <c r="N111" s="2">
        <f>D111*M111</f>
        <v/>
      </c>
      <c r="O111" s="2">
        <f>IF(ISBLANK(E111),0,D111*E111)</f>
        <v/>
      </c>
      <c r="P111" s="3">
        <f>IF(O111=0,0,(O111-N111)/O111)</f>
        <v/>
      </c>
      <c r="Q111" t="n">
        <v>60</v>
      </c>
      <c r="R111" t="inlineStr">
        <is>
          <t>LAUNCH_INVENTORY</t>
        </is>
      </c>
      <c r="S111" t="inlineStr"/>
    </row>
    <row r="112">
      <c r="A112" t="inlineStr">
        <is>
          <t>A6532</t>
        </is>
      </c>
      <c r="B112" t="inlineStr">
        <is>
          <t>S01</t>
        </is>
      </c>
      <c r="C112" t="inlineStr">
        <is>
          <t>GRADIENT COMPRESSION STOCKING, BELOW KNEE, 40-50 MMHG, USED AS A SURGICAL DRESSING, EACH</t>
        </is>
      </c>
      <c r="D112" t="n">
        <v>3</v>
      </c>
      <c r="E112" s="2" t="n">
        <v>85.18000000000001</v>
      </c>
      <c r="G112" s="2" t="inlineStr"/>
      <c r="I112" s="2" t="inlineStr"/>
      <c r="K112" s="2" t="inlineStr"/>
      <c r="L112">
        <f>IF(M112=G112,F112,IF(M112=I112,H112,J112))</f>
        <v/>
      </c>
      <c r="M112" s="2">
        <f>MIN(G112,I112,K112)</f>
        <v/>
      </c>
      <c r="N112" s="2">
        <f>D112*M112</f>
        <v/>
      </c>
      <c r="O112" s="2">
        <f>IF(ISBLANK(E112),0,D112*E112)</f>
        <v/>
      </c>
      <c r="P112" s="3">
        <f>IF(O112=0,0,(O112-N112)/O112)</f>
        <v/>
      </c>
      <c r="Q112" t="n">
        <v>60</v>
      </c>
      <c r="R112" t="inlineStr">
        <is>
          <t>LAUNCH_INVENTORY</t>
        </is>
      </c>
      <c r="S112" t="inlineStr"/>
    </row>
    <row r="113">
      <c r="A113" t="inlineStr">
        <is>
          <t>A6540</t>
        </is>
      </c>
      <c r="B113" t="inlineStr">
        <is>
          <t>S04</t>
        </is>
      </c>
      <c r="C113" t="inlineStr">
        <is>
          <t>GRADIENT COMPRESSION STOCKING, WAIST LENGTH, 30-40 MMHG, EACH</t>
        </is>
      </c>
      <c r="D113" t="n">
        <v>3</v>
      </c>
      <c r="E113" s="2" t="n">
        <v>113.61</v>
      </c>
      <c r="G113" s="2" t="inlineStr"/>
      <c r="I113" s="2" t="inlineStr"/>
      <c r="K113" s="2" t="inlineStr"/>
      <c r="L113">
        <f>IF(M113=G113,F113,IF(M113=I113,H113,J113))</f>
        <v/>
      </c>
      <c r="M113" s="2">
        <f>MIN(G113,I113,K113)</f>
        <v/>
      </c>
      <c r="N113" s="2">
        <f>D113*M113</f>
        <v/>
      </c>
      <c r="O113" s="2">
        <f>IF(ISBLANK(E113),0,D113*E113)</f>
        <v/>
      </c>
      <c r="P113" s="3">
        <f>IF(O113=0,0,(O113-N113)/O113)</f>
        <v/>
      </c>
      <c r="Q113" t="n">
        <v>60</v>
      </c>
      <c r="R113" t="inlineStr">
        <is>
          <t>LAUNCH_INVENTORY</t>
        </is>
      </c>
      <c r="S113" t="inlineStr"/>
    </row>
    <row r="114">
      <c r="A114" t="inlineStr">
        <is>
          <t>A6539</t>
        </is>
      </c>
      <c r="B114" t="inlineStr">
        <is>
          <t>S04</t>
        </is>
      </c>
      <c r="C114" t="inlineStr">
        <is>
          <t>GRADIENT COMPRESSION STOCKING, WAIST LENGTH, 18-30 MMHG, EACH</t>
        </is>
      </c>
      <c r="D114" t="n">
        <v>3</v>
      </c>
      <c r="E114" s="2" t="n">
        <v>95.29000000000001</v>
      </c>
      <c r="G114" s="2" t="inlineStr"/>
      <c r="I114" s="2" t="inlineStr"/>
      <c r="K114" s="2" t="inlineStr"/>
      <c r="L114">
        <f>IF(M114=G114,F114,IF(M114=I114,H114,J114))</f>
        <v/>
      </c>
      <c r="M114" s="2">
        <f>MIN(G114,I114,K114)</f>
        <v/>
      </c>
      <c r="N114" s="2">
        <f>D114*M114</f>
        <v/>
      </c>
      <c r="O114" s="2">
        <f>IF(ISBLANK(E114),0,D114*E114)</f>
        <v/>
      </c>
      <c r="P114" s="3">
        <f>IF(O114=0,0,(O114-N114)/O114)</f>
        <v/>
      </c>
      <c r="Q114" t="n">
        <v>60</v>
      </c>
      <c r="R114" t="inlineStr">
        <is>
          <t>LAUNCH_INVENTORY</t>
        </is>
      </c>
      <c r="S114" t="inlineStr"/>
    </row>
    <row r="115">
      <c r="A115" t="inlineStr">
        <is>
          <t>A6564</t>
        </is>
      </c>
      <c r="B115" t="inlineStr">
        <is>
          <t>S04</t>
        </is>
      </c>
      <c r="C115" t="inlineStr">
        <is>
          <t>GRADIENT COMPRESSION STOCKING, WAIST LENGTH, 40 MMHG OR GREATER, CUSTOM, EACH</t>
        </is>
      </c>
      <c r="D115" t="n">
        <v>3</v>
      </c>
      <c r="E115" s="2" t="n">
        <v>1065.02</v>
      </c>
      <c r="G115" s="2" t="inlineStr"/>
      <c r="I115" s="2" t="inlineStr"/>
      <c r="K115" s="2" t="inlineStr"/>
      <c r="L115">
        <f>IF(M115=G115,F115,IF(M115=I115,H115,J115))</f>
        <v/>
      </c>
      <c r="M115" s="2">
        <f>MIN(G115,I115,K115)</f>
        <v/>
      </c>
      <c r="N115" s="2">
        <f>D115*M115</f>
        <v/>
      </c>
      <c r="O115" s="2">
        <f>IF(ISBLANK(E115),0,D115*E115)</f>
        <v/>
      </c>
      <c r="P115" s="3">
        <f>IF(O115=0,0,(O115-N115)/O115)</f>
        <v/>
      </c>
      <c r="Q115" t="n">
        <v>60</v>
      </c>
      <c r="R115" t="inlineStr">
        <is>
          <t>LAUNCH_INVENTORY</t>
        </is>
      </c>
      <c r="S115" t="inlineStr"/>
    </row>
    <row r="116">
      <c r="A116" t="inlineStr">
        <is>
          <t>A6563</t>
        </is>
      </c>
      <c r="B116" t="inlineStr">
        <is>
          <t>S04</t>
        </is>
      </c>
      <c r="C116" t="inlineStr">
        <is>
          <t>GRADIENT COMPRESSION STOCKING, WAIST LENGTH, 30-40 MMHG, CUSTOM, EACH</t>
        </is>
      </c>
      <c r="D116" t="n">
        <v>3</v>
      </c>
      <c r="E116" s="2" t="n">
        <v>988.6799999999999</v>
      </c>
      <c r="G116" s="2" t="inlineStr"/>
      <c r="I116" s="2" t="inlineStr"/>
      <c r="K116" s="2" t="inlineStr"/>
      <c r="L116">
        <f>IF(M116=G116,F116,IF(M116=I116,H116,J116))</f>
        <v/>
      </c>
      <c r="M116" s="2">
        <f>MIN(G116,I116,K116)</f>
        <v/>
      </c>
      <c r="N116" s="2">
        <f>D116*M116</f>
        <v/>
      </c>
      <c r="O116" s="2">
        <f>IF(ISBLANK(E116),0,D116*E116)</f>
        <v/>
      </c>
      <c r="P116" s="3">
        <f>IF(O116=0,0,(O116-N116)/O116)</f>
        <v/>
      </c>
      <c r="Q116" t="n">
        <v>60</v>
      </c>
      <c r="R116" t="inlineStr">
        <is>
          <t>LAUNCH_INVENTORY</t>
        </is>
      </c>
      <c r="S116" t="inlineStr"/>
    </row>
    <row r="117">
      <c r="A117" t="inlineStr">
        <is>
          <t>A6562</t>
        </is>
      </c>
      <c r="B117" t="inlineStr">
        <is>
          <t>S04</t>
        </is>
      </c>
      <c r="C117" t="inlineStr">
        <is>
          <t>GRADIENT COMPRESSION STOCKING, WAIST LENGTH, 18-30 MMHG, CUSTOM, EACH</t>
        </is>
      </c>
      <c r="D117" t="n">
        <v>3</v>
      </c>
      <c r="E117" s="2" t="n">
        <v>988.6799999999999</v>
      </c>
      <c r="G117" s="2" t="inlineStr"/>
      <c r="I117" s="2" t="inlineStr"/>
      <c r="K117" s="2" t="inlineStr"/>
      <c r="L117">
        <f>IF(M117=G117,F117,IF(M117=I117,H117,J117))</f>
        <v/>
      </c>
      <c r="M117" s="2">
        <f>MIN(G117,I117,K117)</f>
        <v/>
      </c>
      <c r="N117" s="2">
        <f>D117*M117</f>
        <v/>
      </c>
      <c r="O117" s="2">
        <f>IF(ISBLANK(E117),0,D117*E117)</f>
        <v/>
      </c>
      <c r="P117" s="3">
        <f>IF(O117=0,0,(O117-N117)/O117)</f>
        <v/>
      </c>
      <c r="Q117" t="n">
        <v>60</v>
      </c>
      <c r="R117" t="inlineStr">
        <is>
          <t>LAUNCH_INVENTORY</t>
        </is>
      </c>
      <c r="S117" t="inlineStr"/>
    </row>
    <row r="118">
      <c r="A118" t="inlineStr">
        <is>
          <t>A6558</t>
        </is>
      </c>
      <c r="B118" t="inlineStr">
        <is>
          <t>S04</t>
        </is>
      </c>
      <c r="C118" t="inlineStr">
        <is>
          <t>GRADIENT COMPRESSION STOCKING, THIGH LENGTH, 40 MMHG OR GREATER, CUSTOM, EACH</t>
        </is>
      </c>
      <c r="D118" t="n">
        <v>3</v>
      </c>
      <c r="E118" s="2" t="n">
        <v>311.75</v>
      </c>
      <c r="G118" s="2" t="inlineStr"/>
      <c r="I118" s="2" t="inlineStr"/>
      <c r="K118" s="2" t="inlineStr"/>
      <c r="L118">
        <f>IF(M118=G118,F118,IF(M118=I118,H118,J118))</f>
        <v/>
      </c>
      <c r="M118" s="2">
        <f>MIN(G118,I118,K118)</f>
        <v/>
      </c>
      <c r="N118" s="2">
        <f>D118*M118</f>
        <v/>
      </c>
      <c r="O118" s="2">
        <f>IF(ISBLANK(E118),0,D118*E118)</f>
        <v/>
      </c>
      <c r="P118" s="3">
        <f>IF(O118=0,0,(O118-N118)/O118)</f>
        <v/>
      </c>
      <c r="Q118" t="n">
        <v>60</v>
      </c>
      <c r="R118" t="inlineStr">
        <is>
          <t>LAUNCH_INVENTORY</t>
        </is>
      </c>
      <c r="S118" t="inlineStr"/>
    </row>
    <row r="119">
      <c r="A119" t="inlineStr">
        <is>
          <t>A6231</t>
        </is>
      </c>
      <c r="B119" t="inlineStr">
        <is>
          <t>S01</t>
        </is>
      </c>
      <c r="C119" t="inlineStr">
        <is>
          <t>GAUZE, IMPREGNATED, HYDROGEL, FOR DIRECT WOUND CONTACT, STERILE, PAD SIZE 16 SQ. IN. OR LESS, EACH DRESSING</t>
        </is>
      </c>
      <c r="D119" t="n">
        <v>3</v>
      </c>
      <c r="E119" s="2" t="n">
        <v>6.53</v>
      </c>
      <c r="G119" s="2" t="inlineStr"/>
      <c r="I119" s="2" t="inlineStr"/>
      <c r="K119" s="2" t="inlineStr"/>
      <c r="L119">
        <f>IF(M119=G119,F119,IF(M119=I119,H119,J119))</f>
        <v/>
      </c>
      <c r="M119" s="2">
        <f>MIN(G119,I119,K119)</f>
        <v/>
      </c>
      <c r="N119" s="2">
        <f>D119*M119</f>
        <v/>
      </c>
      <c r="O119" s="2">
        <f>IF(ISBLANK(E119),0,D119*E119)</f>
        <v/>
      </c>
      <c r="P119" s="3">
        <f>IF(O119=0,0,(O119-N119)/O119)</f>
        <v/>
      </c>
      <c r="Q119" t="n">
        <v>60</v>
      </c>
      <c r="R119" t="inlineStr">
        <is>
          <t>LAUNCH_INVENTORY</t>
        </is>
      </c>
      <c r="S119" t="inlineStr"/>
    </row>
    <row r="120">
      <c r="A120" t="inlineStr">
        <is>
          <t>A6237</t>
        </is>
      </c>
      <c r="B120" t="inlineStr">
        <is>
          <t>S01</t>
        </is>
      </c>
      <c r="C120" t="inlineStr">
        <is>
          <t>HYDROCOLLOID DRESSING, WOUND COVER, STERILE, PAD SIZE 16 SQ. IN. OR LESS, WITH ANY SIZE ADHESIVE BORDER, EACH DRESSING</t>
        </is>
      </c>
      <c r="D120" t="n">
        <v>3</v>
      </c>
      <c r="E120" s="2" t="n">
        <v>11.05</v>
      </c>
      <c r="G120" s="2" t="inlineStr"/>
      <c r="I120" s="2" t="inlineStr"/>
      <c r="K120" s="2" t="inlineStr"/>
      <c r="L120">
        <f>IF(M120=G120,F120,IF(M120=I120,H120,J120))</f>
        <v/>
      </c>
      <c r="M120" s="2">
        <f>MIN(G120,I120,K120)</f>
        <v/>
      </c>
      <c r="N120" s="2">
        <f>D120*M120</f>
        <v/>
      </c>
      <c r="O120" s="2">
        <f>IF(ISBLANK(E120),0,D120*E120)</f>
        <v/>
      </c>
      <c r="P120" s="3">
        <f>IF(O120=0,0,(O120-N120)/O120)</f>
        <v/>
      </c>
      <c r="Q120" t="n">
        <v>60</v>
      </c>
      <c r="R120" t="inlineStr">
        <is>
          <t>LAUNCH_INVENTORY</t>
        </is>
      </c>
      <c r="S120" t="inlineStr"/>
    </row>
    <row r="121">
      <c r="A121" t="inlineStr">
        <is>
          <t>A6236</t>
        </is>
      </c>
      <c r="B121" t="inlineStr">
        <is>
          <t>S01</t>
        </is>
      </c>
      <c r="C121" t="inlineStr">
        <is>
          <t>HYDROCOLLOID DRESSING, WOUND COVER, STERILE, PAD SIZE MORE THAN 48 SQ. IN., WITHOUT ADHESIVE BORDER, EACH DRESSING</t>
        </is>
      </c>
      <c r="D121" t="n">
        <v>3</v>
      </c>
      <c r="E121" s="2" t="n">
        <v>38.07</v>
      </c>
      <c r="G121" s="2" t="inlineStr"/>
      <c r="I121" s="2" t="inlineStr"/>
      <c r="K121" s="2" t="inlineStr"/>
      <c r="L121">
        <f>IF(M121=G121,F121,IF(M121=I121,H121,J121))</f>
        <v/>
      </c>
      <c r="M121" s="2">
        <f>MIN(G121,I121,K121)</f>
        <v/>
      </c>
      <c r="N121" s="2">
        <f>D121*M121</f>
        <v/>
      </c>
      <c r="O121" s="2">
        <f>IF(ISBLANK(E121),0,D121*E121)</f>
        <v/>
      </c>
      <c r="P121" s="3">
        <f>IF(O121=0,0,(O121-N121)/O121)</f>
        <v/>
      </c>
      <c r="Q121" t="n">
        <v>60</v>
      </c>
      <c r="R121" t="inlineStr">
        <is>
          <t>LAUNCH_INVENTORY</t>
        </is>
      </c>
      <c r="S121" t="inlineStr"/>
    </row>
    <row r="122">
      <c r="A122" t="inlineStr">
        <is>
          <t>A6235</t>
        </is>
      </c>
      <c r="B122" t="inlineStr">
        <is>
          <t>S01</t>
        </is>
      </c>
      <c r="C122" t="inlineStr">
        <is>
          <t>HYDROCOLLOID DRESSING, WOUND COVER, STERILE, PAD SIZE MORE THAN 16 SQ. IN. BUT LESS THAN OR EQUAL TO 48 SQ. IN., WITHOUT ADHESIVE BORDER, EACH DRESSING</t>
        </is>
      </c>
      <c r="D122" t="n">
        <v>3</v>
      </c>
      <c r="E122" s="2" t="n">
        <v>23.5</v>
      </c>
      <c r="G122" s="2" t="inlineStr"/>
      <c r="I122" s="2" t="inlineStr"/>
      <c r="K122" s="2" t="inlineStr"/>
      <c r="L122">
        <f>IF(M122=G122,F122,IF(M122=I122,H122,J122))</f>
        <v/>
      </c>
      <c r="M122" s="2">
        <f>MIN(G122,I122,K122)</f>
        <v/>
      </c>
      <c r="N122" s="2">
        <f>D122*M122</f>
        <v/>
      </c>
      <c r="O122" s="2">
        <f>IF(ISBLANK(E122),0,D122*E122)</f>
        <v/>
      </c>
      <c r="P122" s="3">
        <f>IF(O122=0,0,(O122-N122)/O122)</f>
        <v/>
      </c>
      <c r="Q122" t="n">
        <v>60</v>
      </c>
      <c r="R122" t="inlineStr">
        <is>
          <t>LAUNCH_INVENTORY</t>
        </is>
      </c>
      <c r="S122" t="inlineStr"/>
    </row>
    <row r="123">
      <c r="A123" t="inlineStr">
        <is>
          <t>E0978</t>
        </is>
      </c>
      <c r="B123" t="inlineStr">
        <is>
          <t>M06A</t>
        </is>
      </c>
      <c r="C123" t="inlineStr">
        <is>
          <t>WHEELCHAIR ACCESSORY, POSITIONING BELT/SAFETY BELT/PELVIC STRAP, EACH</t>
        </is>
      </c>
      <c r="D123" t="n">
        <v>3</v>
      </c>
      <c r="E123" s="2" t="n">
        <v>25.52</v>
      </c>
      <c r="G123" s="2" t="inlineStr"/>
      <c r="I123" s="2" t="inlineStr"/>
      <c r="K123" s="2" t="inlineStr"/>
      <c r="L123">
        <f>IF(M123=G123,F123,IF(M123=I123,H123,J123))</f>
        <v/>
      </c>
      <c r="M123" s="2">
        <f>MIN(G123,I123,K123)</f>
        <v/>
      </c>
      <c r="N123" s="2">
        <f>D123*M123</f>
        <v/>
      </c>
      <c r="O123" s="2">
        <f>IF(ISBLANK(E123),0,D123*E123)</f>
        <v/>
      </c>
      <c r="P123" s="3">
        <f>IF(O123=0,0,(O123-N123)/O123)</f>
        <v/>
      </c>
      <c r="Q123" t="n">
        <v>60</v>
      </c>
      <c r="R123" t="inlineStr">
        <is>
          <t>LAUNCH_INVENTORY</t>
        </is>
      </c>
      <c r="S123" t="inlineStr"/>
    </row>
    <row r="124">
      <c r="A124" t="inlineStr">
        <is>
          <t>E2211</t>
        </is>
      </c>
      <c r="B124" t="inlineStr">
        <is>
          <t>M06A</t>
        </is>
      </c>
      <c r="C124" t="inlineStr">
        <is>
          <t>MANUAL WHEELCHAIR ACCESSORY, PNEUMATIC PROPULSION TIRE, ANY SIZE, EACH</t>
        </is>
      </c>
      <c r="D124" t="n">
        <v>3</v>
      </c>
      <c r="E124" s="2" t="n">
        <v>34.03</v>
      </c>
      <c r="G124" s="2" t="inlineStr"/>
      <c r="I124" s="2" t="inlineStr"/>
      <c r="K124" s="2" t="inlineStr"/>
      <c r="L124">
        <f>IF(M124=G124,F124,IF(M124=I124,H124,J124))</f>
        <v/>
      </c>
      <c r="M124" s="2">
        <f>MIN(G124,I124,K124)</f>
        <v/>
      </c>
      <c r="N124" s="2">
        <f>D124*M124</f>
        <v/>
      </c>
      <c r="O124" s="2">
        <f>IF(ISBLANK(E124),0,D124*E124)</f>
        <v/>
      </c>
      <c r="P124" s="3">
        <f>IF(O124=0,0,(O124-N124)/O124)</f>
        <v/>
      </c>
      <c r="Q124" t="n">
        <v>60</v>
      </c>
      <c r="R124" t="inlineStr">
        <is>
          <t>LAUNCH_INVENTORY</t>
        </is>
      </c>
      <c r="S124" t="inlineStr"/>
    </row>
    <row r="125">
      <c r="A125" t="inlineStr">
        <is>
          <t>E2227</t>
        </is>
      </c>
      <c r="B125" t="inlineStr">
        <is>
          <t>M06A</t>
        </is>
      </c>
      <c r="C125" t="inlineStr">
        <is>
          <t>MANUAL WHEELCHAIR ACCESSORY, GEAR REDUCTION DRIVE WHEEL, EACH</t>
        </is>
      </c>
      <c r="D125" t="n">
        <v>3</v>
      </c>
      <c r="E125" s="2" t="n">
        <v>251.3</v>
      </c>
      <c r="G125" s="2" t="inlineStr"/>
      <c r="I125" s="2" t="inlineStr"/>
      <c r="K125" s="2" t="inlineStr"/>
      <c r="L125">
        <f>IF(M125=G125,F125,IF(M125=I125,H125,J125))</f>
        <v/>
      </c>
      <c r="M125" s="2">
        <f>MIN(G125,I125,K125)</f>
        <v/>
      </c>
      <c r="N125" s="2">
        <f>D125*M125</f>
        <v/>
      </c>
      <c r="O125" s="2">
        <f>IF(ISBLANK(E125),0,D125*E125)</f>
        <v/>
      </c>
      <c r="P125" s="3">
        <f>IF(O125=0,0,(O125-N125)/O125)</f>
        <v/>
      </c>
      <c r="Q125" t="n">
        <v>60</v>
      </c>
      <c r="R125" t="inlineStr">
        <is>
          <t>LAUNCH_INVENTORY</t>
        </is>
      </c>
      <c r="S125" t="inlineStr"/>
    </row>
    <row r="126">
      <c r="A126" t="inlineStr">
        <is>
          <t>E2225</t>
        </is>
      </c>
      <c r="B126" t="inlineStr">
        <is>
          <t>M06A</t>
        </is>
      </c>
      <c r="C126" t="inlineStr">
        <is>
          <t>MANUAL WHEELCHAIR ACCESSORY, CASTER WHEEL EXCLUDES TIRE, ANY SIZE, REPLACEMENT ONLY, EACH</t>
        </is>
      </c>
      <c r="D126" t="n">
        <v>3</v>
      </c>
      <c r="E126" s="2" t="n">
        <v>19.31</v>
      </c>
      <c r="G126" s="2" t="inlineStr"/>
      <c r="I126" s="2" t="inlineStr"/>
      <c r="K126" s="2" t="inlineStr"/>
      <c r="L126">
        <f>IF(M126=G126,F126,IF(M126=I126,H126,J126))</f>
        <v/>
      </c>
      <c r="M126" s="2">
        <f>MIN(G126,I126,K126)</f>
        <v/>
      </c>
      <c r="N126" s="2">
        <f>D126*M126</f>
        <v/>
      </c>
      <c r="O126" s="2">
        <f>IF(ISBLANK(E126),0,D126*E126)</f>
        <v/>
      </c>
      <c r="P126" s="3">
        <f>IF(O126=0,0,(O126-N126)/O126)</f>
        <v/>
      </c>
      <c r="Q126" t="n">
        <v>60</v>
      </c>
      <c r="R126" t="inlineStr">
        <is>
          <t>LAUNCH_INVENTORY</t>
        </is>
      </c>
      <c r="S126" t="inlineStr"/>
    </row>
    <row r="127">
      <c r="A127" t="inlineStr">
        <is>
          <t>A6572</t>
        </is>
      </c>
      <c r="B127" t="inlineStr">
        <is>
          <t>S04</t>
        </is>
      </c>
      <c r="C127" t="inlineStr">
        <is>
          <t>GRADIENT COMPRESSION GARMENT, TOE CAPS, EACH</t>
        </is>
      </c>
      <c r="D127" t="n">
        <v>3</v>
      </c>
      <c r="E127" s="2" t="n">
        <v>102.35</v>
      </c>
      <c r="G127" s="2" t="inlineStr"/>
      <c r="I127" s="2" t="inlineStr"/>
      <c r="K127" s="2" t="inlineStr"/>
      <c r="L127">
        <f>IF(M127=G127,F127,IF(M127=I127,H127,J127))</f>
        <v/>
      </c>
      <c r="M127" s="2">
        <f>MIN(G127,I127,K127)</f>
        <v/>
      </c>
      <c r="N127" s="2">
        <f>D127*M127</f>
        <v/>
      </c>
      <c r="O127" s="2">
        <f>IF(ISBLANK(E127),0,D127*E127)</f>
        <v/>
      </c>
      <c r="P127" s="3">
        <f>IF(O127=0,0,(O127-N127)/O127)</f>
        <v/>
      </c>
      <c r="Q127" t="n">
        <v>60</v>
      </c>
      <c r="R127" t="inlineStr">
        <is>
          <t>LAUNCH_INVENTORY</t>
        </is>
      </c>
      <c r="S127" t="inlineStr"/>
    </row>
    <row r="128">
      <c r="A128" t="inlineStr">
        <is>
          <t>A6573</t>
        </is>
      </c>
      <c r="B128" t="inlineStr">
        <is>
          <t>S04</t>
        </is>
      </c>
      <c r="C128" t="inlineStr">
        <is>
          <t>GRADIENT COMPRESSION GARMENT, TOE CAPS, CUSTOM, EACH</t>
        </is>
      </c>
      <c r="D128" t="n">
        <v>3</v>
      </c>
      <c r="E128" s="2" t="n">
        <v>242.87</v>
      </c>
      <c r="G128" s="2" t="inlineStr"/>
      <c r="I128" s="2" t="inlineStr"/>
      <c r="K128" s="2" t="inlineStr"/>
      <c r="L128">
        <f>IF(M128=G128,F128,IF(M128=I128,H128,J128))</f>
        <v/>
      </c>
      <c r="M128" s="2">
        <f>MIN(G128,I128,K128)</f>
        <v/>
      </c>
      <c r="N128" s="2">
        <f>D128*M128</f>
        <v/>
      </c>
      <c r="O128" s="2">
        <f>IF(ISBLANK(E128),0,D128*E128)</f>
        <v/>
      </c>
      <c r="P128" s="3">
        <f>IF(O128=0,0,(O128-N128)/O128)</f>
        <v/>
      </c>
      <c r="Q128" t="n">
        <v>60</v>
      </c>
      <c r="R128" t="inlineStr">
        <is>
          <t>LAUNCH_INVENTORY</t>
        </is>
      </c>
      <c r="S128" t="inlineStr"/>
    </row>
    <row r="129">
      <c r="A129" t="inlineStr">
        <is>
          <t>A6574</t>
        </is>
      </c>
      <c r="B129" t="inlineStr">
        <is>
          <t>S04</t>
        </is>
      </c>
      <c r="C129" t="inlineStr">
        <is>
          <t>GRADIENT COMPRESSION ARM SLEEVE AND GLOVE COMBINATION, CUSTOM, EACH</t>
        </is>
      </c>
      <c r="D129" t="n">
        <v>3</v>
      </c>
      <c r="E129" s="2" t="n">
        <v>309.63</v>
      </c>
      <c r="G129" s="2" t="inlineStr"/>
      <c r="I129" s="2" t="inlineStr"/>
      <c r="K129" s="2" t="inlineStr"/>
      <c r="L129">
        <f>IF(M129=G129,F129,IF(M129=I129,H129,J129))</f>
        <v/>
      </c>
      <c r="M129" s="2">
        <f>MIN(G129,I129,K129)</f>
        <v/>
      </c>
      <c r="N129" s="2">
        <f>D129*M129</f>
        <v/>
      </c>
      <c r="O129" s="2">
        <f>IF(ISBLANK(E129),0,D129*E129)</f>
        <v/>
      </c>
      <c r="P129" s="3">
        <f>IF(O129=0,0,(O129-N129)/O129)</f>
        <v/>
      </c>
      <c r="Q129" t="n">
        <v>60</v>
      </c>
      <c r="R129" t="inlineStr">
        <is>
          <t>LAUNCH_INVENTORY</t>
        </is>
      </c>
      <c r="S129" t="inlineStr"/>
    </row>
    <row r="130">
      <c r="A130" t="inlineStr">
        <is>
          <t>A6575</t>
        </is>
      </c>
      <c r="B130" t="inlineStr">
        <is>
          <t>S04</t>
        </is>
      </c>
      <c r="C130" t="inlineStr">
        <is>
          <t>GRADIENT  COMPRESSION ARM SLEEVE AND GLOVE COMBINATION, EACH</t>
        </is>
      </c>
      <c r="D130" t="n">
        <v>3</v>
      </c>
      <c r="E130" s="2" t="n">
        <v>100.34</v>
      </c>
      <c r="G130" s="2" t="inlineStr"/>
      <c r="I130" s="2" t="inlineStr"/>
      <c r="K130" s="2" t="inlineStr"/>
      <c r="L130">
        <f>IF(M130=G130,F130,IF(M130=I130,H130,J130))</f>
        <v/>
      </c>
      <c r="M130" s="2">
        <f>MIN(G130,I130,K130)</f>
        <v/>
      </c>
      <c r="N130" s="2">
        <f>D130*M130</f>
        <v/>
      </c>
      <c r="O130" s="2">
        <f>IF(ISBLANK(E130),0,D130*E130)</f>
        <v/>
      </c>
      <c r="P130" s="3">
        <f>IF(O130=0,0,(O130-N130)/O130)</f>
        <v/>
      </c>
      <c r="Q130" t="n">
        <v>60</v>
      </c>
      <c r="R130" t="inlineStr">
        <is>
          <t>LAUNCH_INVENTORY</t>
        </is>
      </c>
      <c r="S130" t="inlineStr"/>
    </row>
    <row r="131">
      <c r="A131" t="inlineStr">
        <is>
          <t>A6603</t>
        </is>
      </c>
      <c r="B131" t="inlineStr">
        <is>
          <t>S04</t>
        </is>
      </c>
      <c r="C131" t="inlineStr">
        <is>
          <t>GRADIENT COMPRESSION BANDAGING SUPPLY, LOW DENSITY CHANNEL FOAM SHEET, PER 250 SQUARE CENTIMETERS, EACH</t>
        </is>
      </c>
      <c r="D131" t="n">
        <v>3</v>
      </c>
      <c r="E131" s="2" t="n">
        <v>2.3</v>
      </c>
      <c r="G131" s="2" t="inlineStr"/>
      <c r="I131" s="2" t="inlineStr"/>
      <c r="K131" s="2" t="inlineStr"/>
      <c r="L131">
        <f>IF(M131=G131,F131,IF(M131=I131,H131,J131))</f>
        <v/>
      </c>
      <c r="M131" s="2">
        <f>MIN(G131,I131,K131)</f>
        <v/>
      </c>
      <c r="N131" s="2">
        <f>D131*M131</f>
        <v/>
      </c>
      <c r="O131" s="2">
        <f>IF(ISBLANK(E131),0,D131*E131)</f>
        <v/>
      </c>
      <c r="P131" s="3">
        <f>IF(O131=0,0,(O131-N131)/O131)</f>
        <v/>
      </c>
      <c r="Q131" t="n">
        <v>60</v>
      </c>
      <c r="R131" t="inlineStr">
        <is>
          <t>LAUNCH_INVENTORY</t>
        </is>
      </c>
      <c r="S131" t="inlineStr"/>
    </row>
    <row r="132">
      <c r="A132" t="inlineStr">
        <is>
          <t>A6604</t>
        </is>
      </c>
      <c r="B132" t="inlineStr">
        <is>
          <t>S04</t>
        </is>
      </c>
      <c r="C132" t="inlineStr">
        <is>
          <t>GRADIENT COMPRESSION BANDAGING SUPPLY, LOW DENSITY FLAT FOAM SHEET, PER 250 SQUARE CENTIMETERS, EACH</t>
        </is>
      </c>
      <c r="D132" t="n">
        <v>3</v>
      </c>
      <c r="E132" s="2" t="n">
        <v>1.34</v>
      </c>
      <c r="G132" s="2" t="inlineStr"/>
      <c r="I132" s="2" t="inlineStr"/>
      <c r="K132" s="2" t="inlineStr"/>
      <c r="L132">
        <f>IF(M132=G132,F132,IF(M132=I132,H132,J132))</f>
        <v/>
      </c>
      <c r="M132" s="2">
        <f>MIN(G132,I132,K132)</f>
        <v/>
      </c>
      <c r="N132" s="2">
        <f>D132*M132</f>
        <v/>
      </c>
      <c r="O132" s="2">
        <f>IF(ISBLANK(E132),0,D132*E132)</f>
        <v/>
      </c>
      <c r="P132" s="3">
        <f>IF(O132=0,0,(O132-N132)/O132)</f>
        <v/>
      </c>
      <c r="Q132" t="n">
        <v>60</v>
      </c>
      <c r="R132" t="inlineStr">
        <is>
          <t>LAUNCH_INVENTORY</t>
        </is>
      </c>
      <c r="S132" t="inlineStr"/>
    </row>
    <row r="133">
      <c r="A133" t="inlineStr">
        <is>
          <t>A6243</t>
        </is>
      </c>
      <c r="B133" t="inlineStr">
        <is>
          <t>S01</t>
        </is>
      </c>
      <c r="C133" t="inlineStr">
        <is>
          <t>HYDROGEL DRESSING, WOUND COVER, STERILE, PAD SIZE MORE THAN 16 SQ. IN. BUT LESS THAN OR EQUAL TO 48 SQ. IN., WITHOUT ADHESIVE BORDER, EACH DRESSING</t>
        </is>
      </c>
      <c r="D133" t="n">
        <v>3</v>
      </c>
      <c r="E133" s="2" t="n">
        <v>17.22</v>
      </c>
      <c r="G133" s="2" t="inlineStr"/>
      <c r="I133" s="2" t="inlineStr"/>
      <c r="K133" s="2" t="inlineStr"/>
      <c r="L133">
        <f>IF(M133=G133,F133,IF(M133=I133,H133,J133))</f>
        <v/>
      </c>
      <c r="M133" s="2">
        <f>MIN(G133,I133,K133)</f>
        <v/>
      </c>
      <c r="N133" s="2">
        <f>D133*M133</f>
        <v/>
      </c>
      <c r="O133" s="2">
        <f>IF(ISBLANK(E133),0,D133*E133)</f>
        <v/>
      </c>
      <c r="P133" s="3">
        <f>IF(O133=0,0,(O133-N133)/O133)</f>
        <v/>
      </c>
      <c r="Q133" t="n">
        <v>60</v>
      </c>
      <c r="R133" t="inlineStr">
        <is>
          <t>LAUNCH_INVENTORY</t>
        </is>
      </c>
      <c r="S133" t="inlineStr"/>
    </row>
    <row r="134">
      <c r="A134" t="inlineStr">
        <is>
          <t>A6571</t>
        </is>
      </c>
      <c r="B134" t="inlineStr">
        <is>
          <t>S04</t>
        </is>
      </c>
      <c r="C134" t="inlineStr">
        <is>
          <t>GRADIENT COMPRESSION GARMENT, GENITAL REGION, CUSTOM, EACH</t>
        </is>
      </c>
      <c r="D134" t="n">
        <v>3</v>
      </c>
      <c r="E134" s="2" t="n">
        <v>662.9400000000001</v>
      </c>
      <c r="G134" s="2" t="inlineStr"/>
      <c r="I134" s="2" t="inlineStr"/>
      <c r="K134" s="2" t="inlineStr"/>
      <c r="L134">
        <f>IF(M134=G134,F134,IF(M134=I134,H134,J134))</f>
        <v/>
      </c>
      <c r="M134" s="2">
        <f>MIN(G134,I134,K134)</f>
        <v/>
      </c>
      <c r="N134" s="2">
        <f>D134*M134</f>
        <v/>
      </c>
      <c r="O134" s="2">
        <f>IF(ISBLANK(E134),0,D134*E134)</f>
        <v/>
      </c>
      <c r="P134" s="3">
        <f>IF(O134=0,0,(O134-N134)/O134)</f>
        <v/>
      </c>
      <c r="Q134" t="n">
        <v>60</v>
      </c>
      <c r="R134" t="inlineStr">
        <is>
          <t>LAUNCH_INVENTORY</t>
        </is>
      </c>
      <c r="S134" t="inlineStr"/>
    </row>
    <row r="135">
      <c r="A135" t="inlineStr">
        <is>
          <t>A6557</t>
        </is>
      </c>
      <c r="B135" t="inlineStr">
        <is>
          <t>S04</t>
        </is>
      </c>
      <c r="C135" t="inlineStr">
        <is>
          <t>GRADIENT COMPRESSION STOCKING, THIGH LENGTH, 30-40 MMHG, CUSTOM, EACH</t>
        </is>
      </c>
      <c r="D135" t="n">
        <v>3</v>
      </c>
      <c r="E135" s="2" t="n">
        <v>302.09</v>
      </c>
      <c r="G135" s="2" t="inlineStr"/>
      <c r="I135" s="2" t="inlineStr"/>
      <c r="K135" s="2" t="inlineStr"/>
      <c r="L135">
        <f>IF(M135=G135,F135,IF(M135=I135,H135,J135))</f>
        <v/>
      </c>
      <c r="M135" s="2">
        <f>MIN(G135,I135,K135)</f>
        <v/>
      </c>
      <c r="N135" s="2">
        <f>D135*M135</f>
        <v/>
      </c>
      <c r="O135" s="2">
        <f>IF(ISBLANK(E135),0,D135*E135)</f>
        <v/>
      </c>
      <c r="P135" s="3">
        <f>IF(O135=0,0,(O135-N135)/O135)</f>
        <v/>
      </c>
      <c r="Q135" t="n">
        <v>60</v>
      </c>
      <c r="R135" t="inlineStr">
        <is>
          <t>LAUNCH_INVENTORY</t>
        </is>
      </c>
      <c r="S135" t="inlineStr"/>
    </row>
    <row r="136">
      <c r="A136" t="inlineStr">
        <is>
          <t>A6552</t>
        </is>
      </c>
      <c r="B136" t="inlineStr">
        <is>
          <t>S04</t>
        </is>
      </c>
      <c r="C136" t="inlineStr">
        <is>
          <t>GRADIENT COMPRESSION STOCKING, BELOW KNEE, 30-40 MMHG, EACH</t>
        </is>
      </c>
      <c r="D136" t="n">
        <v>3</v>
      </c>
      <c r="E136" s="2" t="n">
        <v>56.45</v>
      </c>
      <c r="G136" s="2" t="inlineStr"/>
      <c r="I136" s="2" t="inlineStr"/>
      <c r="K136" s="2" t="inlineStr"/>
      <c r="L136">
        <f>IF(M136=G136,F136,IF(M136=I136,H136,J136))</f>
        <v/>
      </c>
      <c r="M136" s="2">
        <f>MIN(G136,I136,K136)</f>
        <v/>
      </c>
      <c r="N136" s="2">
        <f>D136*M136</f>
        <v/>
      </c>
      <c r="O136" s="2">
        <f>IF(ISBLANK(E136),0,D136*E136)</f>
        <v/>
      </c>
      <c r="P136" s="3">
        <f>IF(O136=0,0,(O136-N136)/O136)</f>
        <v/>
      </c>
      <c r="Q136" t="n">
        <v>60</v>
      </c>
      <c r="R136" t="inlineStr">
        <is>
          <t>LAUNCH_INVENTORY</t>
        </is>
      </c>
      <c r="S136" t="inlineStr"/>
    </row>
    <row r="137">
      <c r="A137" t="inlineStr">
        <is>
          <t>A6566</t>
        </is>
      </c>
      <c r="B137" t="inlineStr">
        <is>
          <t>S04</t>
        </is>
      </c>
      <c r="C137" t="inlineStr">
        <is>
          <t>GRADIENT COMPRESSION GARMENT, NECK/HEAD, EACH</t>
        </is>
      </c>
      <c r="D137" t="n">
        <v>3</v>
      </c>
      <c r="E137" s="2" t="n">
        <v>248.05</v>
      </c>
      <c r="G137" s="2" t="inlineStr"/>
      <c r="I137" s="2" t="inlineStr"/>
      <c r="K137" s="2" t="inlineStr"/>
      <c r="L137">
        <f>IF(M137=G137,F137,IF(M137=I137,H137,J137))</f>
        <v/>
      </c>
      <c r="M137" s="2">
        <f>MIN(G137,I137,K137)</f>
        <v/>
      </c>
      <c r="N137" s="2">
        <f>D137*M137</f>
        <v/>
      </c>
      <c r="O137" s="2">
        <f>IF(ISBLANK(E137),0,D137*E137)</f>
        <v/>
      </c>
      <c r="P137" s="3">
        <f>IF(O137=0,0,(O137-N137)/O137)</f>
        <v/>
      </c>
      <c r="Q137" t="n">
        <v>60</v>
      </c>
      <c r="R137" t="inlineStr">
        <is>
          <t>LAUNCH_INVENTORY</t>
        </is>
      </c>
      <c r="S137" t="inlineStr"/>
    </row>
    <row r="138">
      <c r="A138" t="inlineStr">
        <is>
          <t>A6565</t>
        </is>
      </c>
      <c r="B138" t="inlineStr">
        <is>
          <t>S04</t>
        </is>
      </c>
      <c r="C138" t="inlineStr">
        <is>
          <t>GRADIENT COMPRESSION GAUNTLET, CUSTOM, EACH</t>
        </is>
      </c>
      <c r="D138" t="n">
        <v>3</v>
      </c>
      <c r="E138" s="2" t="n">
        <v>170.84</v>
      </c>
      <c r="G138" s="2" t="inlineStr"/>
      <c r="I138" s="2" t="inlineStr"/>
      <c r="K138" s="2" t="inlineStr"/>
      <c r="L138">
        <f>IF(M138=G138,F138,IF(M138=I138,H138,J138))</f>
        <v/>
      </c>
      <c r="M138" s="2">
        <f>MIN(G138,I138,K138)</f>
        <v/>
      </c>
      <c r="N138" s="2">
        <f>D138*M138</f>
        <v/>
      </c>
      <c r="O138" s="2">
        <f>IF(ISBLANK(E138),0,D138*E138)</f>
        <v/>
      </c>
      <c r="P138" s="3">
        <f>IF(O138=0,0,(O138-N138)/O138)</f>
        <v/>
      </c>
      <c r="Q138" t="n">
        <v>60</v>
      </c>
      <c r="R138" t="inlineStr">
        <is>
          <t>LAUNCH_INVENTORY</t>
        </is>
      </c>
      <c r="S138" t="inlineStr"/>
    </row>
    <row r="139">
      <c r="A139" t="inlineStr">
        <is>
          <t>A6567</t>
        </is>
      </c>
      <c r="B139" t="inlineStr">
        <is>
          <t>S04</t>
        </is>
      </c>
      <c r="C139" t="inlineStr">
        <is>
          <t>GRADIENT COMPRESSION GARMENT, NECK/HEAD, CUSTOM, EACH</t>
        </is>
      </c>
      <c r="D139" t="n">
        <v>3</v>
      </c>
      <c r="E139" s="2" t="n">
        <v>779.38</v>
      </c>
      <c r="G139" s="2" t="inlineStr"/>
      <c r="I139" s="2" t="inlineStr"/>
      <c r="K139" s="2" t="inlineStr"/>
      <c r="L139">
        <f>IF(M139=G139,F139,IF(M139=I139,H139,J139))</f>
        <v/>
      </c>
      <c r="M139" s="2">
        <f>MIN(G139,I139,K139)</f>
        <v/>
      </c>
      <c r="N139" s="2">
        <f>D139*M139</f>
        <v/>
      </c>
      <c r="O139" s="2">
        <f>IF(ISBLANK(E139),0,D139*E139)</f>
        <v/>
      </c>
      <c r="P139" s="3">
        <f>IF(O139=0,0,(O139-N139)/O139)</f>
        <v/>
      </c>
      <c r="Q139" t="n">
        <v>60</v>
      </c>
      <c r="R139" t="inlineStr">
        <is>
          <t>LAUNCH_INVENTORY</t>
        </is>
      </c>
      <c r="S139" t="inlineStr"/>
    </row>
    <row r="140">
      <c r="A140" t="inlineStr">
        <is>
          <t>A6605</t>
        </is>
      </c>
      <c r="B140" t="inlineStr">
        <is>
          <t>S04</t>
        </is>
      </c>
      <c r="C140" t="inlineStr">
        <is>
          <t>GRADIENT COMPRESSION BANDAGING SUPPLY, PADDED FOAM, PER LINEAR YARD, ANY WIDTH, EACH</t>
        </is>
      </c>
      <c r="D140" t="n">
        <v>3</v>
      </c>
      <c r="E140" s="2" t="n">
        <v>1.53</v>
      </c>
      <c r="G140" s="2" t="inlineStr"/>
      <c r="I140" s="2" t="inlineStr"/>
      <c r="K140" s="2" t="inlineStr"/>
      <c r="L140">
        <f>IF(M140=G140,F140,IF(M140=I140,H140,J140))</f>
        <v/>
      </c>
      <c r="M140" s="2">
        <f>MIN(G140,I140,K140)</f>
        <v/>
      </c>
      <c r="N140" s="2">
        <f>D140*M140</f>
        <v/>
      </c>
      <c r="O140" s="2">
        <f>IF(ISBLANK(E140),0,D140*E140)</f>
        <v/>
      </c>
      <c r="P140" s="3">
        <f>IF(O140=0,0,(O140-N140)/O140)</f>
        <v/>
      </c>
      <c r="Q140" t="n">
        <v>60</v>
      </c>
      <c r="R140" t="inlineStr">
        <is>
          <t>LAUNCH_INVENTORY</t>
        </is>
      </c>
      <c r="S140" t="inlineStr"/>
    </row>
    <row r="141">
      <c r="A141" t="inlineStr">
        <is>
          <t>A6197</t>
        </is>
      </c>
      <c r="B141" t="inlineStr">
        <is>
          <t>S01</t>
        </is>
      </c>
      <c r="C141" t="inlineStr">
        <is>
          <t>ALGINATE OR OTHER FIBER GELLING DRESSING, WOUND COVER, STERILE, PAD SIZE MORE THAN 16 SQ. IN. BUT LESS THAN OR EQUAL TO 48 SQ. IN., EACH DRESSING</t>
        </is>
      </c>
      <c r="D141" t="n">
        <v>3</v>
      </c>
      <c r="E141" s="2" t="n">
        <v>22.98</v>
      </c>
      <c r="G141" s="2" t="inlineStr"/>
      <c r="I141" s="2" t="inlineStr"/>
      <c r="K141" s="2" t="inlineStr"/>
      <c r="L141">
        <f>IF(M141=G141,F141,IF(M141=I141,H141,J141))</f>
        <v/>
      </c>
      <c r="M141" s="2">
        <f>MIN(G141,I141,K141)</f>
        <v/>
      </c>
      <c r="N141" s="2">
        <f>D141*M141</f>
        <v/>
      </c>
      <c r="O141" s="2">
        <f>IF(ISBLANK(E141),0,D141*E141)</f>
        <v/>
      </c>
      <c r="P141" s="3">
        <f>IF(O141=0,0,(O141-N141)/O141)</f>
        <v/>
      </c>
      <c r="Q141" t="n">
        <v>60</v>
      </c>
      <c r="R141" t="inlineStr">
        <is>
          <t>LAUNCH_INVENTORY</t>
        </is>
      </c>
      <c r="S141" t="inlineStr"/>
    </row>
    <row r="142">
      <c r="A142" t="inlineStr">
        <is>
          <t>A6196</t>
        </is>
      </c>
      <c r="B142" t="inlineStr">
        <is>
          <t>S01</t>
        </is>
      </c>
      <c r="C142" t="inlineStr">
        <is>
          <t>ALGINATE OR OTHER FIBER GELLING DRESSING, WOUND COVER, STERILE, PAD SIZE 16 SQ. IN. OR LESS, EACH DRESSING</t>
        </is>
      </c>
      <c r="D142" t="n">
        <v>3</v>
      </c>
      <c r="E142" s="2" t="n">
        <v>10.28</v>
      </c>
      <c r="G142" s="2" t="inlineStr"/>
      <c r="I142" s="2" t="inlineStr"/>
      <c r="K142" s="2" t="inlineStr"/>
      <c r="L142">
        <f>IF(M142=G142,F142,IF(M142=I142,H142,J142))</f>
        <v/>
      </c>
      <c r="M142" s="2">
        <f>MIN(G142,I142,K142)</f>
        <v/>
      </c>
      <c r="N142" s="2">
        <f>D142*M142</f>
        <v/>
      </c>
      <c r="O142" s="2">
        <f>IF(ISBLANK(E142),0,D142*E142)</f>
        <v/>
      </c>
      <c r="P142" s="3">
        <f>IF(O142=0,0,(O142-N142)/O142)</f>
        <v/>
      </c>
      <c r="Q142" t="n">
        <v>60</v>
      </c>
      <c r="R142" t="inlineStr">
        <is>
          <t>LAUNCH_INVENTORY</t>
        </is>
      </c>
      <c r="S142" t="inlineStr"/>
    </row>
    <row r="143">
      <c r="A143" t="inlineStr">
        <is>
          <t>A6253</t>
        </is>
      </c>
      <c r="B143" t="inlineStr">
        <is>
          <t>S01</t>
        </is>
      </c>
      <c r="C143" t="inlineStr">
        <is>
          <t>SPECIALTY ABSORPTIVE DRESSING, WOUND COVER, STERILE, PAD SIZE MORE THAN 48 SQ. IN., WITHOUT ADHESIVE BORDER, EACH DRESSING</t>
        </is>
      </c>
      <c r="D143" t="n">
        <v>3</v>
      </c>
      <c r="E143" s="2" t="n">
        <v>8.85</v>
      </c>
      <c r="G143" s="2" t="inlineStr"/>
      <c r="I143" s="2" t="inlineStr"/>
      <c r="K143" s="2" t="inlineStr"/>
      <c r="L143">
        <f>IF(M143=G143,F143,IF(M143=I143,H143,J143))</f>
        <v/>
      </c>
      <c r="M143" s="2">
        <f>MIN(G143,I143,K143)</f>
        <v/>
      </c>
      <c r="N143" s="2">
        <f>D143*M143</f>
        <v/>
      </c>
      <c r="O143" s="2">
        <f>IF(ISBLANK(E143),0,D143*E143)</f>
        <v/>
      </c>
      <c r="P143" s="3">
        <f>IF(O143=0,0,(O143-N143)/O143)</f>
        <v/>
      </c>
      <c r="Q143" t="n">
        <v>60</v>
      </c>
      <c r="R143" t="inlineStr">
        <is>
          <t>LAUNCH_INVENTORY</t>
        </is>
      </c>
      <c r="S143" t="inlineStr"/>
    </row>
    <row r="144">
      <c r="A144" t="inlineStr">
        <is>
          <t>A6252</t>
        </is>
      </c>
      <c r="B144" t="inlineStr">
        <is>
          <t>S01</t>
        </is>
      </c>
      <c r="C144" t="inlineStr">
        <is>
          <t>SPECIALTY ABSORPTIVE DRESSING, WOUND COVER, STERILE, PAD SIZE MORE THAN 16 SQ. IN. BUT LESS THAN OR EQUAL TO 48 SQ. IN., WITHOUT ADHESIVE BORDER, EACH DRESSING</t>
        </is>
      </c>
      <c r="D144" t="n">
        <v>3</v>
      </c>
      <c r="E144" s="2" t="n">
        <v>4.55</v>
      </c>
      <c r="G144" s="2" t="inlineStr"/>
      <c r="I144" s="2" t="inlineStr"/>
      <c r="K144" s="2" t="inlineStr"/>
      <c r="L144">
        <f>IF(M144=G144,F144,IF(M144=I144,H144,J144))</f>
        <v/>
      </c>
      <c r="M144" s="2">
        <f>MIN(G144,I144,K144)</f>
        <v/>
      </c>
      <c r="N144" s="2">
        <f>D144*M144</f>
        <v/>
      </c>
      <c r="O144" s="2">
        <f>IF(ISBLANK(E144),0,D144*E144)</f>
        <v/>
      </c>
      <c r="P144" s="3">
        <f>IF(O144=0,0,(O144-N144)/O144)</f>
        <v/>
      </c>
      <c r="Q144" t="n">
        <v>60</v>
      </c>
      <c r="R144" t="inlineStr">
        <is>
          <t>LAUNCH_INVENTORY</t>
        </is>
      </c>
      <c r="S144" t="inlineStr"/>
    </row>
    <row r="145">
      <c r="A145" t="inlineStr">
        <is>
          <t>A6251</t>
        </is>
      </c>
      <c r="B145" t="inlineStr">
        <is>
          <t>S01</t>
        </is>
      </c>
      <c r="C145" t="inlineStr">
        <is>
          <t>SPECIALTY ABSORPTIVE DRESSING, WOUND COVER, STERILE, PAD SIZE 16 SQ. IN. OR LESS, WITHOUT ADHESIVE BORDER, EACH DRESSING</t>
        </is>
      </c>
      <c r="D145" t="n">
        <v>3</v>
      </c>
      <c r="E145" s="2" t="n">
        <v>2.78</v>
      </c>
      <c r="G145" s="2" t="inlineStr"/>
      <c r="I145" s="2" t="inlineStr"/>
      <c r="K145" s="2" t="inlineStr"/>
      <c r="L145">
        <f>IF(M145=G145,F145,IF(M145=I145,H145,J145))</f>
        <v/>
      </c>
      <c r="M145" s="2">
        <f>MIN(G145,I145,K145)</f>
        <v/>
      </c>
      <c r="N145" s="2">
        <f>D145*M145</f>
        <v/>
      </c>
      <c r="O145" s="2">
        <f>IF(ISBLANK(E145),0,D145*E145)</f>
        <v/>
      </c>
      <c r="P145" s="3">
        <f>IF(O145=0,0,(O145-N145)/O145)</f>
        <v/>
      </c>
      <c r="Q145" t="n">
        <v>60</v>
      </c>
      <c r="R145" t="inlineStr">
        <is>
          <t>LAUNCH_INVENTORY</t>
        </is>
      </c>
      <c r="S145" t="inlineStr"/>
    </row>
    <row r="146">
      <c r="A146" t="inlineStr">
        <is>
          <t>A6248</t>
        </is>
      </c>
      <c r="B146" t="inlineStr">
        <is>
          <t>S01</t>
        </is>
      </c>
      <c r="C146" t="inlineStr">
        <is>
          <t>HYDROGEL DRESSING, WOUND FILLER, GEL, PER FLUID OUNCE</t>
        </is>
      </c>
      <c r="D146" t="n">
        <v>3</v>
      </c>
      <c r="E146" s="2" t="n">
        <v>22.7</v>
      </c>
      <c r="G146" s="2" t="inlineStr"/>
      <c r="I146" s="2" t="inlineStr"/>
      <c r="K146" s="2" t="inlineStr"/>
      <c r="L146">
        <f>IF(M146=G146,F146,IF(M146=I146,H146,J146))</f>
        <v/>
      </c>
      <c r="M146" s="2">
        <f>MIN(G146,I146,K146)</f>
        <v/>
      </c>
      <c r="N146" s="2">
        <f>D146*M146</f>
        <v/>
      </c>
      <c r="O146" s="2">
        <f>IF(ISBLANK(E146),0,D146*E146)</f>
        <v/>
      </c>
      <c r="P146" s="3">
        <f>IF(O146=0,0,(O146-N146)/O146)</f>
        <v/>
      </c>
      <c r="Q146" t="n">
        <v>60</v>
      </c>
      <c r="R146" t="inlineStr">
        <is>
          <t>LAUNCH_INVENTORY</t>
        </is>
      </c>
      <c r="S146" t="inlineStr"/>
    </row>
    <row r="147">
      <c r="A147" t="inlineStr">
        <is>
          <t>A6234</t>
        </is>
      </c>
      <c r="B147" t="inlineStr">
        <is>
          <t>S01</t>
        </is>
      </c>
      <c r="C147" t="inlineStr">
        <is>
          <t>HYDROCOLLOID DRESSING, WOUND COVER, STERILE, PAD SIZE 16 SQ. IN. OR LESS, WITHOUT ADHESIVE BORDER, EACH DRESSING</t>
        </is>
      </c>
      <c r="D147" t="n">
        <v>3</v>
      </c>
      <c r="E147" s="2" t="n">
        <v>9.15</v>
      </c>
      <c r="G147" s="2" t="inlineStr"/>
      <c r="I147" s="2" t="inlineStr"/>
      <c r="K147" s="2" t="inlineStr"/>
      <c r="L147">
        <f>IF(M147=G147,F147,IF(M147=I147,H147,J147))</f>
        <v/>
      </c>
      <c r="M147" s="2">
        <f>MIN(G147,I147,K147)</f>
        <v/>
      </c>
      <c r="N147" s="2">
        <f>D147*M147</f>
        <v/>
      </c>
      <c r="O147" s="2">
        <f>IF(ISBLANK(E147),0,D147*E147)</f>
        <v/>
      </c>
      <c r="P147" s="3">
        <f>IF(O147=0,0,(O147-N147)/O147)</f>
        <v/>
      </c>
      <c r="Q147" t="n">
        <v>60</v>
      </c>
      <c r="R147" t="inlineStr">
        <is>
          <t>LAUNCH_INVENTORY</t>
        </is>
      </c>
      <c r="S147" t="inlineStr"/>
    </row>
    <row r="148">
      <c r="A148" t="inlineStr">
        <is>
          <t>A6233</t>
        </is>
      </c>
      <c r="B148" t="inlineStr">
        <is>
          <t>S01</t>
        </is>
      </c>
      <c r="C148" t="inlineStr">
        <is>
          <t>GAUZE, IMPREGNATED, HYDROGEL, FOR DIRECT WOUND CONTACT, STERILE, PAD SIZE MORE THAN 48 SQ. IN., EACH DRESSING</t>
        </is>
      </c>
      <c r="D148" t="n">
        <v>3</v>
      </c>
      <c r="E148" s="2" t="n">
        <v>26.79</v>
      </c>
      <c r="G148" s="2" t="inlineStr"/>
      <c r="I148" s="2" t="inlineStr"/>
      <c r="K148" s="2" t="inlineStr"/>
      <c r="L148">
        <f>IF(M148=G148,F148,IF(M148=I148,H148,J148))</f>
        <v/>
      </c>
      <c r="M148" s="2">
        <f>MIN(G148,I148,K148)</f>
        <v/>
      </c>
      <c r="N148" s="2">
        <f>D148*M148</f>
        <v/>
      </c>
      <c r="O148" s="2">
        <f>IF(ISBLANK(E148),0,D148*E148)</f>
        <v/>
      </c>
      <c r="P148" s="3">
        <f>IF(O148=0,0,(O148-N148)/O148)</f>
        <v/>
      </c>
      <c r="Q148" t="n">
        <v>60</v>
      </c>
      <c r="R148" t="inlineStr">
        <is>
          <t>LAUNCH_INVENTORY</t>
        </is>
      </c>
      <c r="S148" t="inlineStr"/>
    </row>
    <row r="149">
      <c r="A149" t="inlineStr">
        <is>
          <t>A6232</t>
        </is>
      </c>
      <c r="B149" t="inlineStr">
        <is>
          <t>S01</t>
        </is>
      </c>
      <c r="C149" t="inlineStr">
        <is>
          <t>GAUZE, IMPREGNATED, HYDROGEL, FOR DIRECT WOUND CONTACT, STERILE, PAD SIZE GREATER THAN 16 SQ. IN., BUT LESS THAN OR EQUAL TO 48 SQ. IN., EACH DRESSING</t>
        </is>
      </c>
      <c r="D149" t="n">
        <v>3</v>
      </c>
      <c r="E149" s="2" t="n">
        <v>9.59</v>
      </c>
      <c r="G149" s="2" t="inlineStr"/>
      <c r="I149" s="2" t="inlineStr"/>
      <c r="K149" s="2" t="inlineStr"/>
      <c r="L149">
        <f>IF(M149=G149,F149,IF(M149=I149,H149,J149))</f>
        <v/>
      </c>
      <c r="M149" s="2">
        <f>MIN(G149,I149,K149)</f>
        <v/>
      </c>
      <c r="N149" s="2">
        <f>D149*M149</f>
        <v/>
      </c>
      <c r="O149" s="2">
        <f>IF(ISBLANK(E149),0,D149*E149)</f>
        <v/>
      </c>
      <c r="P149" s="3">
        <f>IF(O149=0,0,(O149-N149)/O149)</f>
        <v/>
      </c>
      <c r="Q149" t="n">
        <v>60</v>
      </c>
      <c r="R149" t="inlineStr">
        <is>
          <t>LAUNCH_INVENTORY</t>
        </is>
      </c>
      <c r="S149" t="inlineStr"/>
    </row>
    <row r="150">
      <c r="A150" t="inlineStr">
        <is>
          <t>A6246</t>
        </is>
      </c>
      <c r="B150" t="inlineStr">
        <is>
          <t>S01</t>
        </is>
      </c>
      <c r="C150" t="inlineStr">
        <is>
          <t>HYDROGEL DRESSING, WOUND COVER, STERILE, PAD SIZE MORE THAN 16 SQ. IN. BUT LESS THAN OR EQUAL TO 48 SQ. IN., WITH ANY SIZE ADHESIVE BORDER, EACH DRESSING</t>
        </is>
      </c>
      <c r="D150" t="n">
        <v>3</v>
      </c>
      <c r="E150" s="2" t="n">
        <v>13.88</v>
      </c>
      <c r="G150" s="2" t="inlineStr"/>
      <c r="I150" s="2" t="inlineStr"/>
      <c r="K150" s="2" t="inlineStr"/>
      <c r="L150">
        <f>IF(M150=G150,F150,IF(M150=I150,H150,J150))</f>
        <v/>
      </c>
      <c r="M150" s="2">
        <f>MIN(G150,I150,K150)</f>
        <v/>
      </c>
      <c r="N150" s="2">
        <f>D150*M150</f>
        <v/>
      </c>
      <c r="O150" s="2">
        <f>IF(ISBLANK(E150),0,D150*E150)</f>
        <v/>
      </c>
      <c r="P150" s="3">
        <f>IF(O150=0,0,(O150-N150)/O150)</f>
        <v/>
      </c>
      <c r="Q150" t="n">
        <v>60</v>
      </c>
      <c r="R150" t="inlineStr">
        <is>
          <t>LAUNCH_INVENTORY</t>
        </is>
      </c>
      <c r="S150" t="inlineStr"/>
    </row>
    <row r="151">
      <c r="A151" t="inlineStr">
        <is>
          <t>A6595</t>
        </is>
      </c>
      <c r="B151" t="inlineStr">
        <is>
          <t>S04</t>
        </is>
      </c>
      <c r="C151" t="inlineStr">
        <is>
          <t>GRADIENT COMPRESSION BANDAGING SUPPLY, BANDAGE LINER, UPPER EXTREMITY, ANY SIZE OR LENGTH, EACH</t>
        </is>
      </c>
      <c r="D151" t="n">
        <v>3</v>
      </c>
      <c r="E151" s="2" t="n">
        <v>33.57</v>
      </c>
      <c r="G151" s="2" t="inlineStr"/>
      <c r="I151" s="2" t="inlineStr"/>
      <c r="K151" s="2" t="inlineStr"/>
      <c r="L151">
        <f>IF(M151=G151,F151,IF(M151=I151,H151,J151))</f>
        <v/>
      </c>
      <c r="M151" s="2">
        <f>MIN(G151,I151,K151)</f>
        <v/>
      </c>
      <c r="N151" s="2">
        <f>D151*M151</f>
        <v/>
      </c>
      <c r="O151" s="2">
        <f>IF(ISBLANK(E151),0,D151*E151)</f>
        <v/>
      </c>
      <c r="P151" s="3">
        <f>IF(O151=0,0,(O151-N151)/O151)</f>
        <v/>
      </c>
      <c r="Q151" t="n">
        <v>60</v>
      </c>
      <c r="R151" t="inlineStr">
        <is>
          <t>LAUNCH_INVENTORY</t>
        </is>
      </c>
      <c r="S151" t="inlineStr"/>
    </row>
    <row r="152">
      <c r="A152" t="inlineStr">
        <is>
          <t>A6556</t>
        </is>
      </c>
      <c r="B152" t="inlineStr">
        <is>
          <t>S04</t>
        </is>
      </c>
      <c r="C152" t="inlineStr">
        <is>
          <t>GRADIENT COMPRESSION STOCKING, THIGH LENGTH, 18-30 MMHG, CUSTOM, EACH</t>
        </is>
      </c>
      <c r="D152" t="n">
        <v>3</v>
      </c>
      <c r="E152" s="2" t="n">
        <v>302.09</v>
      </c>
      <c r="G152" s="2" t="inlineStr"/>
      <c r="I152" s="2" t="inlineStr"/>
      <c r="K152" s="2" t="inlineStr"/>
      <c r="L152">
        <f>IF(M152=G152,F152,IF(M152=I152,H152,J152))</f>
        <v/>
      </c>
      <c r="M152" s="2">
        <f>MIN(G152,I152,K152)</f>
        <v/>
      </c>
      <c r="N152" s="2">
        <f>D152*M152</f>
        <v/>
      </c>
      <c r="O152" s="2">
        <f>IF(ISBLANK(E152),0,D152*E152)</f>
        <v/>
      </c>
      <c r="P152" s="3">
        <f>IF(O152=0,0,(O152-N152)/O152)</f>
        <v/>
      </c>
      <c r="Q152" t="n">
        <v>60</v>
      </c>
      <c r="R152" t="inlineStr">
        <is>
          <t>LAUNCH_INVENTORY</t>
        </is>
      </c>
      <c r="S152" t="inlineStr"/>
    </row>
    <row r="153">
      <c r="A153" t="inlineStr">
        <is>
          <t>A6555</t>
        </is>
      </c>
      <c r="B153" t="inlineStr">
        <is>
          <t>S04</t>
        </is>
      </c>
      <c r="C153" t="inlineStr">
        <is>
          <t>GRADIENT COMPRESSION STOCKING, BELOW KNEE, 40 MMHG OR GREATER, CUSTOM, EACH</t>
        </is>
      </c>
      <c r="D153" t="n">
        <v>3</v>
      </c>
      <c r="E153" s="2" t="n">
        <v>220.43</v>
      </c>
      <c r="G153" s="2" t="inlineStr"/>
      <c r="I153" s="2" t="inlineStr"/>
      <c r="K153" s="2" t="inlineStr"/>
      <c r="L153">
        <f>IF(M153=G153,F153,IF(M153=I153,H153,J153))</f>
        <v/>
      </c>
      <c r="M153" s="2">
        <f>MIN(G153,I153,K153)</f>
        <v/>
      </c>
      <c r="N153" s="2">
        <f>D153*M153</f>
        <v/>
      </c>
      <c r="O153" s="2">
        <f>IF(ISBLANK(E153),0,D153*E153)</f>
        <v/>
      </c>
      <c r="P153" s="3">
        <f>IF(O153=0,0,(O153-N153)/O153)</f>
        <v/>
      </c>
      <c r="Q153" t="n">
        <v>60</v>
      </c>
      <c r="R153" t="inlineStr">
        <is>
          <t>LAUNCH_INVENTORY</t>
        </is>
      </c>
      <c r="S153" t="inlineStr"/>
    </row>
    <row r="154">
      <c r="A154" t="inlineStr">
        <is>
          <t>A6554</t>
        </is>
      </c>
      <c r="B154" t="inlineStr">
        <is>
          <t>S04</t>
        </is>
      </c>
      <c r="C154" t="inlineStr">
        <is>
          <t>GRADIENT COMPRESSION STOCKING, BELOW KNEE, 40 MMHG OR GREATER, EACH</t>
        </is>
      </c>
      <c r="D154" t="n">
        <v>3</v>
      </c>
      <c r="E154" s="2" t="n">
        <v>77.62</v>
      </c>
      <c r="G154" s="2" t="inlineStr"/>
      <c r="I154" s="2" t="inlineStr"/>
      <c r="K154" s="2" t="inlineStr"/>
      <c r="L154">
        <f>IF(M154=G154,F154,IF(M154=I154,H154,J154))</f>
        <v/>
      </c>
      <c r="M154" s="2">
        <f>MIN(G154,I154,K154)</f>
        <v/>
      </c>
      <c r="N154" s="2">
        <f>D154*M154</f>
        <v/>
      </c>
      <c r="O154" s="2">
        <f>IF(ISBLANK(E154),0,D154*E154)</f>
        <v/>
      </c>
      <c r="P154" s="3">
        <f>IF(O154=0,0,(O154-N154)/O154)</f>
        <v/>
      </c>
      <c r="Q154" t="n">
        <v>60</v>
      </c>
      <c r="R154" t="inlineStr">
        <is>
          <t>LAUNCH_INVENTORY</t>
        </is>
      </c>
      <c r="S154" t="inlineStr"/>
    </row>
    <row r="155">
      <c r="A155" t="inlineStr">
        <is>
          <t>A6606</t>
        </is>
      </c>
      <c r="B155" t="inlineStr">
        <is>
          <t>S04</t>
        </is>
      </c>
      <c r="C155" t="inlineStr">
        <is>
          <t>GRADIENT COMPRESSION BANDAGING SUPPLY, PADDED TEXTILE, PER LINEAR YARD, ANY WIDTH, EACH</t>
        </is>
      </c>
      <c r="D155" t="n">
        <v>3</v>
      </c>
      <c r="E155" s="2" t="n">
        <v>4.55</v>
      </c>
      <c r="G155" s="2" t="inlineStr"/>
      <c r="I155" s="2" t="inlineStr"/>
      <c r="K155" s="2" t="inlineStr"/>
      <c r="L155">
        <f>IF(M155=G155,F155,IF(M155=I155,H155,J155))</f>
        <v/>
      </c>
      <c r="M155" s="2">
        <f>MIN(G155,I155,K155)</f>
        <v/>
      </c>
      <c r="N155" s="2">
        <f>D155*M155</f>
        <v/>
      </c>
      <c r="O155" s="2">
        <f>IF(ISBLANK(E155),0,D155*E155)</f>
        <v/>
      </c>
      <c r="P155" s="3">
        <f>IF(O155=0,0,(O155-N155)/O155)</f>
        <v/>
      </c>
      <c r="Q155" t="n">
        <v>60</v>
      </c>
      <c r="R155" t="inlineStr">
        <is>
          <t>LAUNCH_INVENTORY</t>
        </is>
      </c>
      <c r="S155" t="inlineStr"/>
    </row>
    <row r="156">
      <c r="A156" t="inlineStr">
        <is>
          <t>A6610</t>
        </is>
      </c>
      <c r="B156" t="inlineStr">
        <is>
          <t>S04</t>
        </is>
      </c>
      <c r="C156" t="inlineStr">
        <is>
          <t>GRADIENT COMPRESSION STOCKING, BELOW KNEE, 18-30 MMHG, CUSTOM, EACH</t>
        </is>
      </c>
      <c r="D156" t="n">
        <v>3</v>
      </c>
      <c r="E156" s="2" t="n">
        <v>220.43</v>
      </c>
      <c r="G156" s="2" t="inlineStr"/>
      <c r="I156" s="2" t="inlineStr"/>
      <c r="K156" s="2" t="inlineStr"/>
      <c r="L156">
        <f>IF(M156=G156,F156,IF(M156=I156,H156,J156))</f>
        <v/>
      </c>
      <c r="M156" s="2">
        <f>MIN(G156,I156,K156)</f>
        <v/>
      </c>
      <c r="N156" s="2">
        <f>D156*M156</f>
        <v/>
      </c>
      <c r="O156" s="2">
        <f>IF(ISBLANK(E156),0,D156*E156)</f>
        <v/>
      </c>
      <c r="P156" s="3">
        <f>IF(O156=0,0,(O156-N156)/O156)</f>
        <v/>
      </c>
      <c r="Q156" t="n">
        <v>60</v>
      </c>
      <c r="R156" t="inlineStr">
        <is>
          <t>LAUNCH_INVENTORY</t>
        </is>
      </c>
      <c r="S156" t="inlineStr"/>
    </row>
    <row r="157">
      <c r="A157" t="inlineStr">
        <is>
          <t>A6607</t>
        </is>
      </c>
      <c r="B157" t="inlineStr">
        <is>
          <t>S04</t>
        </is>
      </c>
      <c r="C157" t="inlineStr">
        <is>
          <t>GRADIENT COMPRESSION BANDAGING SUPPLY, TUBULAR PROTECTIVE ABSORPTION LAYER, PER LINEAR YARD, ANY WIDTH, EACH</t>
        </is>
      </c>
      <c r="D157" t="n">
        <v>3</v>
      </c>
      <c r="E157" s="2" t="n">
        <v>1.22</v>
      </c>
      <c r="G157" s="2" t="inlineStr"/>
      <c r="I157" s="2" t="inlineStr"/>
      <c r="K157" s="2" t="inlineStr"/>
      <c r="L157">
        <f>IF(M157=G157,F157,IF(M157=I157,H157,J157))</f>
        <v/>
      </c>
      <c r="M157" s="2">
        <f>MIN(G157,I157,K157)</f>
        <v/>
      </c>
      <c r="N157" s="2">
        <f>D157*M157</f>
        <v/>
      </c>
      <c r="O157" s="2">
        <f>IF(ISBLANK(E157),0,D157*E157)</f>
        <v/>
      </c>
      <c r="P157" s="3">
        <f>IF(O157=0,0,(O157-N157)/O157)</f>
        <v/>
      </c>
      <c r="Q157" t="n">
        <v>60</v>
      </c>
      <c r="R157" t="inlineStr">
        <is>
          <t>LAUNCH_INVENTORY</t>
        </is>
      </c>
      <c r="S157" t="inlineStr"/>
    </row>
    <row r="158">
      <c r="A158" t="inlineStr">
        <is>
          <t>A6608</t>
        </is>
      </c>
      <c r="B158" t="inlineStr">
        <is>
          <t>S04</t>
        </is>
      </c>
      <c r="C158" t="inlineStr">
        <is>
          <t>GRADIENT COMPRESSION BANDAGING SUPPLY, TUBULAR PROTECTIVE ABSORPTION PADDED LAYER, PER LINEAR YARD, ANY WIDTH, EACH</t>
        </is>
      </c>
      <c r="D158" t="n">
        <v>3</v>
      </c>
      <c r="E158" s="2" t="n">
        <v>5.07</v>
      </c>
      <c r="G158" s="2" t="inlineStr"/>
      <c r="I158" s="2" t="inlineStr"/>
      <c r="K158" s="2" t="inlineStr"/>
      <c r="L158">
        <f>IF(M158=G158,F158,IF(M158=I158,H158,J158))</f>
        <v/>
      </c>
      <c r="M158" s="2">
        <f>MIN(G158,I158,K158)</f>
        <v/>
      </c>
      <c r="N158" s="2">
        <f>D158*M158</f>
        <v/>
      </c>
      <c r="O158" s="2">
        <f>IF(ISBLANK(E158),0,D158*E158)</f>
        <v/>
      </c>
      <c r="P158" s="3">
        <f>IF(O158=0,0,(O158-N158)/O158)</f>
        <v/>
      </c>
      <c r="Q158" t="n">
        <v>60</v>
      </c>
      <c r="R158" t="inlineStr">
        <is>
          <t>LAUNCH_INVENTORY</t>
        </is>
      </c>
      <c r="S158" t="inlineStr"/>
    </row>
    <row r="159">
      <c r="A159" t="inlineStr">
        <is>
          <t>A6600</t>
        </is>
      </c>
      <c r="B159" t="inlineStr">
        <is>
          <t>S04</t>
        </is>
      </c>
      <c r="C159" t="inlineStr">
        <is>
          <t>GRADIENT COMPRESSION BANDAGING SUPPLY, HIGH DENSITY FOAM SHEET, PER 250 SQUARE CENTIMETERS, EACH</t>
        </is>
      </c>
      <c r="D159" t="n">
        <v>3</v>
      </c>
      <c r="E159" s="2" t="n">
        <v>2.99</v>
      </c>
      <c r="G159" s="2" t="inlineStr"/>
      <c r="I159" s="2" t="inlineStr"/>
      <c r="K159" s="2" t="inlineStr"/>
      <c r="L159">
        <f>IF(M159=G159,F159,IF(M159=I159,H159,J159))</f>
        <v/>
      </c>
      <c r="M159" s="2">
        <f>MIN(G159,I159,K159)</f>
        <v/>
      </c>
      <c r="N159" s="2">
        <f>D159*M159</f>
        <v/>
      </c>
      <c r="O159" s="2">
        <f>IF(ISBLANK(E159),0,D159*E159)</f>
        <v/>
      </c>
      <c r="P159" s="3">
        <f>IF(O159=0,0,(O159-N159)/O159)</f>
        <v/>
      </c>
      <c r="Q159" t="n">
        <v>60</v>
      </c>
      <c r="R159" t="inlineStr">
        <is>
          <t>LAUNCH_INVENTORY</t>
        </is>
      </c>
      <c r="S159" t="inlineStr"/>
    </row>
    <row r="160">
      <c r="A160" t="inlineStr">
        <is>
          <t>A6599</t>
        </is>
      </c>
      <c r="B160" t="inlineStr">
        <is>
          <t>S04</t>
        </is>
      </c>
      <c r="C160" t="inlineStr">
        <is>
          <t>GRADIENT COMPRESSION BANDAGE ROLL, INELASTIC SHORT STRETCH, PER LINEAR YARD, ANY WIDTH, EACH</t>
        </is>
      </c>
      <c r="D160" t="n">
        <v>3</v>
      </c>
      <c r="E160" s="2" t="n">
        <v>1.66</v>
      </c>
      <c r="G160" s="2" t="inlineStr"/>
      <c r="I160" s="2" t="inlineStr"/>
      <c r="K160" s="2" t="inlineStr"/>
      <c r="L160">
        <f>IF(M160=G160,F160,IF(M160=I160,H160,J160))</f>
        <v/>
      </c>
      <c r="M160" s="2">
        <f>MIN(G160,I160,K160)</f>
        <v/>
      </c>
      <c r="N160" s="2">
        <f>D160*M160</f>
        <v/>
      </c>
      <c r="O160" s="2">
        <f>IF(ISBLANK(E160),0,D160*E160)</f>
        <v/>
      </c>
      <c r="P160" s="3">
        <f>IF(O160=0,0,(O160-N160)/O160)</f>
        <v/>
      </c>
      <c r="Q160" t="n">
        <v>60</v>
      </c>
      <c r="R160" t="inlineStr">
        <is>
          <t>LAUNCH_INVENTORY</t>
        </is>
      </c>
      <c r="S160" t="inlineStr"/>
    </row>
    <row r="161">
      <c r="A161" t="inlineStr">
        <is>
          <t>A6598</t>
        </is>
      </c>
      <c r="B161" t="inlineStr">
        <is>
          <t>S04</t>
        </is>
      </c>
      <c r="C161" t="inlineStr">
        <is>
          <t>GRADIENT COMPRESSION BANDAGE ROLL, ELASTIC MEDIUM STRETCH, PER LINEAR YARD, ANY WIDTH, EACH</t>
        </is>
      </c>
      <c r="D161" t="n">
        <v>3</v>
      </c>
      <c r="E161" s="2" t="n">
        <v>0.73</v>
      </c>
      <c r="G161" s="2" t="inlineStr"/>
      <c r="I161" s="2" t="inlineStr"/>
      <c r="K161" s="2" t="inlineStr"/>
      <c r="L161">
        <f>IF(M161=G161,F161,IF(M161=I161,H161,J161))</f>
        <v/>
      </c>
      <c r="M161" s="2">
        <f>MIN(G161,I161,K161)</f>
        <v/>
      </c>
      <c r="N161" s="2">
        <f>D161*M161</f>
        <v/>
      </c>
      <c r="O161" s="2">
        <f>IF(ISBLANK(E161),0,D161*E161)</f>
        <v/>
      </c>
      <c r="P161" s="3">
        <f>IF(O161=0,0,(O161-N161)/O161)</f>
        <v/>
      </c>
      <c r="Q161" t="n">
        <v>60</v>
      </c>
      <c r="R161" t="inlineStr">
        <is>
          <t>LAUNCH_INVENTORY</t>
        </is>
      </c>
      <c r="S161" t="inlineStr"/>
    </row>
    <row r="162">
      <c r="A162" t="inlineStr">
        <is>
          <t>A6594</t>
        </is>
      </c>
      <c r="B162" t="inlineStr">
        <is>
          <t>S04</t>
        </is>
      </c>
      <c r="C162" t="inlineStr">
        <is>
          <t>GRADIENT COMPRESSION BANDAGING SUPPLY, BANDAGE LINER, LOWER EXTREMITY, ANY SIZE OR LENGTH, EACH</t>
        </is>
      </c>
      <c r="D162" t="n">
        <v>3</v>
      </c>
      <c r="E162" s="2" t="n">
        <v>34.13</v>
      </c>
      <c r="G162" s="2" t="inlineStr"/>
      <c r="I162" s="2" t="inlineStr"/>
      <c r="K162" s="2" t="inlineStr"/>
      <c r="L162">
        <f>IF(M162=G162,F162,IF(M162=I162,H162,J162))</f>
        <v/>
      </c>
      <c r="M162" s="2">
        <f>MIN(G162,I162,K162)</f>
        <v/>
      </c>
      <c r="N162" s="2">
        <f>D162*M162</f>
        <v/>
      </c>
      <c r="O162" s="2">
        <f>IF(ISBLANK(E162),0,D162*E162)</f>
        <v/>
      </c>
      <c r="P162" s="3">
        <f>IF(O162=0,0,(O162-N162)/O162)</f>
        <v/>
      </c>
      <c r="Q162" t="n">
        <v>60</v>
      </c>
      <c r="R162" t="inlineStr">
        <is>
          <t>LAUNCH_INVENTORY</t>
        </is>
      </c>
      <c r="S162" t="inlineStr"/>
    </row>
    <row r="163">
      <c r="A163" t="inlineStr">
        <is>
          <t>A6214</t>
        </is>
      </c>
      <c r="B163" t="inlineStr">
        <is>
          <t>S01</t>
        </is>
      </c>
      <c r="C163" t="inlineStr">
        <is>
          <t>FOAM DRESSING, WOUND COVER, STERILE, PAD SIZE MORE THAN 48 SQ. IN., WITH ANY SIZE ADHESIVE BORDER, EACH DRESSING</t>
        </is>
      </c>
      <c r="D163" t="n">
        <v>3</v>
      </c>
      <c r="E163" s="2" t="n">
        <v>14.39</v>
      </c>
      <c r="G163" s="2" t="inlineStr"/>
      <c r="I163" s="2" t="inlineStr"/>
      <c r="K163" s="2" t="inlineStr"/>
      <c r="L163">
        <f>IF(M163=G163,F163,IF(M163=I163,H163,J163))</f>
        <v/>
      </c>
      <c r="M163" s="2">
        <f>MIN(G163,I163,K163)</f>
        <v/>
      </c>
      <c r="N163" s="2">
        <f>D163*M163</f>
        <v/>
      </c>
      <c r="O163" s="2">
        <f>IF(ISBLANK(E163),0,D163*E163)</f>
        <v/>
      </c>
      <c r="P163" s="3">
        <f>IF(O163=0,0,(O163-N163)/O163)</f>
        <v/>
      </c>
      <c r="Q163" t="n">
        <v>60</v>
      </c>
      <c r="R163" t="inlineStr">
        <is>
          <t>LAUNCH_INVENTORY</t>
        </is>
      </c>
      <c r="S163" t="inlineStr"/>
    </row>
    <row r="164">
      <c r="A164" t="inlineStr">
        <is>
          <t>A6212</t>
        </is>
      </c>
      <c r="B164" t="inlineStr">
        <is>
          <t>S01</t>
        </is>
      </c>
      <c r="C164" t="inlineStr">
        <is>
          <t>FOAM DRESSING, WOUND COVER, STERILE, PAD SIZE 16 SQ. IN. OR LESS, WITH ANY SIZE ADHESIVE BORDER, EACH DRESSING</t>
        </is>
      </c>
      <c r="D164" t="n">
        <v>3</v>
      </c>
      <c r="E164" s="2" t="n">
        <v>13.57</v>
      </c>
      <c r="G164" s="2" t="inlineStr"/>
      <c r="I164" s="2" t="inlineStr"/>
      <c r="K164" s="2" t="inlineStr"/>
      <c r="L164">
        <f>IF(M164=G164,F164,IF(M164=I164,H164,J164))</f>
        <v/>
      </c>
      <c r="M164" s="2">
        <f>MIN(G164,I164,K164)</f>
        <v/>
      </c>
      <c r="N164" s="2">
        <f>D164*M164</f>
        <v/>
      </c>
      <c r="O164" s="2">
        <f>IF(ISBLANK(E164),0,D164*E164)</f>
        <v/>
      </c>
      <c r="P164" s="3">
        <f>IF(O164=0,0,(O164-N164)/O164)</f>
        <v/>
      </c>
      <c r="Q164" t="n">
        <v>60</v>
      </c>
      <c r="R164" t="inlineStr">
        <is>
          <t>LAUNCH_INVENTORY</t>
        </is>
      </c>
      <c r="S164" t="inlineStr"/>
    </row>
    <row r="165">
      <c r="A165" t="inlineStr">
        <is>
          <t>A6210</t>
        </is>
      </c>
      <c r="B165" t="inlineStr">
        <is>
          <t>S01</t>
        </is>
      </c>
      <c r="C165" t="inlineStr">
        <is>
          <t>FOAM DRESSING, WOUND COVER, STERILE, PAD SIZE MORE THAN 16 SQ. IN. BUT LESS THAN OR EQUAL TO 48 SQ. IN., WITHOUT ADHESIVE BORDER, EACH DRESSING</t>
        </is>
      </c>
      <c r="D165" t="n">
        <v>3</v>
      </c>
      <c r="E165" s="2" t="n">
        <v>27.84</v>
      </c>
      <c r="G165" s="2" t="inlineStr"/>
      <c r="I165" s="2" t="inlineStr"/>
      <c r="K165" s="2" t="inlineStr"/>
      <c r="L165">
        <f>IF(M165=G165,F165,IF(M165=I165,H165,J165))</f>
        <v/>
      </c>
      <c r="M165" s="2">
        <f>MIN(G165,I165,K165)</f>
        <v/>
      </c>
      <c r="N165" s="2">
        <f>D165*M165</f>
        <v/>
      </c>
      <c r="O165" s="2">
        <f>IF(ISBLANK(E165),0,D165*E165)</f>
        <v/>
      </c>
      <c r="P165" s="3">
        <f>IF(O165=0,0,(O165-N165)/O165)</f>
        <v/>
      </c>
      <c r="Q165" t="n">
        <v>60</v>
      </c>
      <c r="R165" t="inlineStr">
        <is>
          <t>LAUNCH_INVENTORY</t>
        </is>
      </c>
      <c r="S165" t="inlineStr"/>
    </row>
    <row r="166">
      <c r="A166" t="inlineStr">
        <is>
          <t>A6209</t>
        </is>
      </c>
      <c r="B166" t="inlineStr">
        <is>
          <t>S01</t>
        </is>
      </c>
      <c r="C166" t="inlineStr">
        <is>
          <t>FOAM DRESSING, WOUND COVER, STERILE, PAD SIZE 16 SQ. IN. OR LESS, WITHOUT ADHESIVE BORDER, EACH DRESSING</t>
        </is>
      </c>
      <c r="D166" t="n">
        <v>3</v>
      </c>
      <c r="E166" s="2" t="n">
        <v>10.44</v>
      </c>
      <c r="G166" s="2" t="inlineStr"/>
      <c r="I166" s="2" t="inlineStr"/>
      <c r="K166" s="2" t="inlineStr"/>
      <c r="L166">
        <f>IF(M166=G166,F166,IF(M166=I166,H166,J166))</f>
        <v/>
      </c>
      <c r="M166" s="2">
        <f>MIN(G166,I166,K166)</f>
        <v/>
      </c>
      <c r="N166" s="2">
        <f>D166*M166</f>
        <v/>
      </c>
      <c r="O166" s="2">
        <f>IF(ISBLANK(E166),0,D166*E166)</f>
        <v/>
      </c>
      <c r="P166" s="3">
        <f>IF(O166=0,0,(O166-N166)/O166)</f>
        <v/>
      </c>
      <c r="Q166" t="n">
        <v>60</v>
      </c>
      <c r="R166" t="inlineStr">
        <is>
          <t>LAUNCH_INVENTORY</t>
        </is>
      </c>
      <c r="S166" t="inlineStr"/>
    </row>
    <row r="167">
      <c r="A167" t="inlineStr">
        <is>
          <t>A6207</t>
        </is>
      </c>
      <c r="B167" t="inlineStr">
        <is>
          <t>S01</t>
        </is>
      </c>
      <c r="C167" t="inlineStr">
        <is>
          <t>CONTACT LAYER, STERILE, MORE THAN 16 SQ. IN. BUT LESS THAN OR EQUAL TO 48 SQ. IN., EACH DRESSING</t>
        </is>
      </c>
      <c r="D167" t="n">
        <v>3</v>
      </c>
      <c r="E167" s="2" t="n">
        <v>10.26</v>
      </c>
      <c r="G167" s="2" t="inlineStr"/>
      <c r="I167" s="2" t="inlineStr"/>
      <c r="K167" s="2" t="inlineStr"/>
      <c r="L167">
        <f>IF(M167=G167,F167,IF(M167=I167,H167,J167))</f>
        <v/>
      </c>
      <c r="M167" s="2">
        <f>MIN(G167,I167,K167)</f>
        <v/>
      </c>
      <c r="N167" s="2">
        <f>D167*M167</f>
        <v/>
      </c>
      <c r="O167" s="2">
        <f>IF(ISBLANK(E167),0,D167*E167)</f>
        <v/>
      </c>
      <c r="P167" s="3">
        <f>IF(O167=0,0,(O167-N167)/O167)</f>
        <v/>
      </c>
      <c r="Q167" t="n">
        <v>60</v>
      </c>
      <c r="R167" t="inlineStr">
        <is>
          <t>LAUNCH_INVENTORY</t>
        </is>
      </c>
      <c r="S167" t="inlineStr"/>
    </row>
    <row r="168">
      <c r="A168" t="inlineStr">
        <is>
          <t>A6204</t>
        </is>
      </c>
      <c r="B168" t="inlineStr">
        <is>
          <t>S01</t>
        </is>
      </c>
      <c r="C168" t="inlineStr">
        <is>
          <t>COMPOSITE DRESSING, STERILE, PAD SIZE MORE THAN 16 SQ. IN. BUT LESS THAN OR EQUAL TO 48 SQ. IN., WITH ANY SIZE ADHESIVE BORDER, EACH DRESSING</t>
        </is>
      </c>
      <c r="D168" t="n">
        <v>3</v>
      </c>
      <c r="E168" s="2" t="n">
        <v>8.69</v>
      </c>
      <c r="G168" s="2" t="inlineStr"/>
      <c r="I168" s="2" t="inlineStr"/>
      <c r="K168" s="2" t="inlineStr"/>
      <c r="L168">
        <f>IF(M168=G168,F168,IF(M168=I168,H168,J168))</f>
        <v/>
      </c>
      <c r="M168" s="2">
        <f>MIN(G168,I168,K168)</f>
        <v/>
      </c>
      <c r="N168" s="2">
        <f>D168*M168</f>
        <v/>
      </c>
      <c r="O168" s="2">
        <f>IF(ISBLANK(E168),0,D168*E168)</f>
        <v/>
      </c>
      <c r="P168" s="3">
        <f>IF(O168=0,0,(O168-N168)/O168)</f>
        <v/>
      </c>
      <c r="Q168" t="n">
        <v>60</v>
      </c>
      <c r="R168" t="inlineStr">
        <is>
          <t>LAUNCH_INVENTORY</t>
        </is>
      </c>
      <c r="S168" t="inlineStr"/>
    </row>
    <row r="169">
      <c r="A169" t="inlineStr">
        <is>
          <t>A6219</t>
        </is>
      </c>
      <c r="B169" t="inlineStr">
        <is>
          <t>S01</t>
        </is>
      </c>
      <c r="C169" t="inlineStr">
        <is>
          <t>GAUZE, NON-IMPREGNATED, STERILE, PAD SIZE 16 SQ. IN. OR LESS, WITH ANY SIZE ADHESIVE BORDER, EACH DRESSING</t>
        </is>
      </c>
      <c r="D169" t="n">
        <v>3</v>
      </c>
      <c r="E169" s="2" t="n">
        <v>1.33</v>
      </c>
      <c r="G169" s="2" t="inlineStr"/>
      <c r="I169" s="2" t="inlineStr"/>
      <c r="K169" s="2" t="inlineStr"/>
      <c r="L169">
        <f>IF(M169=G169,F169,IF(M169=I169,H169,J169))</f>
        <v/>
      </c>
      <c r="M169" s="2">
        <f>MIN(G169,I169,K169)</f>
        <v/>
      </c>
      <c r="N169" s="2">
        <f>D169*M169</f>
        <v/>
      </c>
      <c r="O169" s="2">
        <f>IF(ISBLANK(E169),0,D169*E169)</f>
        <v/>
      </c>
      <c r="P169" s="3">
        <f>IF(O169=0,0,(O169-N169)/O169)</f>
        <v/>
      </c>
      <c r="Q169" t="n">
        <v>60</v>
      </c>
      <c r="R169" t="inlineStr">
        <is>
          <t>LAUNCH_INVENTORY</t>
        </is>
      </c>
      <c r="S169" t="inlineStr"/>
    </row>
    <row r="170">
      <c r="A170" t="inlineStr">
        <is>
          <t>A6601</t>
        </is>
      </c>
      <c r="B170" t="inlineStr">
        <is>
          <t>S04</t>
        </is>
      </c>
      <c r="C170" t="inlineStr">
        <is>
          <t>GRADIENT COMPRESSION BANDAGING SUPPLY, HIGH DENSITY FOAM PAD, ANY SIZE OR SHAPE, EACH</t>
        </is>
      </c>
      <c r="D170" t="n">
        <v>3</v>
      </c>
      <c r="E170" s="2" t="n">
        <v>3.36</v>
      </c>
      <c r="G170" s="2" t="inlineStr"/>
      <c r="I170" s="2" t="inlineStr"/>
      <c r="K170" s="2" t="inlineStr"/>
      <c r="L170">
        <f>IF(M170=G170,F170,IF(M170=I170,H170,J170))</f>
        <v/>
      </c>
      <c r="M170" s="2">
        <f>MIN(G170,I170,K170)</f>
        <v/>
      </c>
      <c r="N170" s="2">
        <f>D170*M170</f>
        <v/>
      </c>
      <c r="O170" s="2">
        <f>IF(ISBLANK(E170),0,D170*E170)</f>
        <v/>
      </c>
      <c r="P170" s="3">
        <f>IF(O170=0,0,(O170-N170)/O170)</f>
        <v/>
      </c>
      <c r="Q170" t="n">
        <v>60</v>
      </c>
      <c r="R170" t="inlineStr">
        <is>
          <t>LAUNCH_INVENTORY</t>
        </is>
      </c>
      <c r="S170" t="inlineStr"/>
    </row>
    <row r="171">
      <c r="A171" t="inlineStr">
        <is>
          <t>E1226</t>
        </is>
      </c>
      <c r="B171" t="inlineStr">
        <is>
          <t>M06A</t>
        </is>
      </c>
      <c r="C171" t="inlineStr">
        <is>
          <t>WHEELCHAIR ACCESSORY, MANUAL FULLY RECLINING BACK, (RECLINE GREATER THAN 80 DEGREES), EACH</t>
        </is>
      </c>
      <c r="D171" t="n">
        <v>3</v>
      </c>
      <c r="E171" s="2" t="n">
        <v>378.26</v>
      </c>
      <c r="G171" s="2" t="inlineStr"/>
      <c r="I171" s="2" t="inlineStr"/>
      <c r="K171" s="2" t="inlineStr"/>
      <c r="L171">
        <f>IF(M171=G171,F171,IF(M171=I171,H171,J171))</f>
        <v/>
      </c>
      <c r="M171" s="2">
        <f>MIN(G171,I171,K171)</f>
        <v/>
      </c>
      <c r="N171" s="2">
        <f>D171*M171</f>
        <v/>
      </c>
      <c r="O171" s="2">
        <f>IF(ISBLANK(E171),0,D171*E171)</f>
        <v/>
      </c>
      <c r="P171" s="3">
        <f>IF(O171=0,0,(O171-N171)/O171)</f>
        <v/>
      </c>
      <c r="Q171" t="n">
        <v>60</v>
      </c>
      <c r="R171" t="inlineStr">
        <is>
          <t>LAUNCH_INVENTORY</t>
        </is>
      </c>
      <c r="S171" t="inlineStr"/>
    </row>
    <row r="172">
      <c r="A172" t="inlineStr">
        <is>
          <t>E1015</t>
        </is>
      </c>
      <c r="B172" t="inlineStr">
        <is>
          <t>M06A</t>
        </is>
      </c>
      <c r="C172" t="inlineStr">
        <is>
          <t>SHOCK ABSORBER FOR MANUAL WHEELCHAIR, EACH</t>
        </is>
      </c>
      <c r="D172" t="n">
        <v>3</v>
      </c>
      <c r="E172" s="2" t="n">
        <v>121.15</v>
      </c>
      <c r="G172" s="2" t="inlineStr"/>
      <c r="I172" s="2" t="inlineStr"/>
      <c r="K172" s="2" t="inlineStr"/>
      <c r="L172">
        <f>IF(M172=G172,F172,IF(M172=I172,H172,J172))</f>
        <v/>
      </c>
      <c r="M172" s="2">
        <f>MIN(G172,I172,K172)</f>
        <v/>
      </c>
      <c r="N172" s="2">
        <f>D172*M172</f>
        <v/>
      </c>
      <c r="O172" s="2">
        <f>IF(ISBLANK(E172),0,D172*E172)</f>
        <v/>
      </c>
      <c r="P172" s="3">
        <f>IF(O172=0,0,(O172-N172)/O172)</f>
        <v/>
      </c>
      <c r="Q172" t="n">
        <v>60</v>
      </c>
      <c r="R172" t="inlineStr">
        <is>
          <t>LAUNCH_INVENTORY</t>
        </is>
      </c>
      <c r="S172" t="inlineStr"/>
    </row>
    <row r="173">
      <c r="A173" t="inlineStr">
        <is>
          <t>E2206</t>
        </is>
      </c>
      <c r="B173" t="inlineStr">
        <is>
          <t>M06A</t>
        </is>
      </c>
      <c r="C173" t="inlineStr">
        <is>
          <t>MANUAL WHEELCHAIR ACCESSORY, WHEEL LOCK ASSEMBLY, COMPLETE, REPLACEMENT ONLY, EACH</t>
        </is>
      </c>
      <c r="D173" t="n">
        <v>3</v>
      </c>
      <c r="E173" s="2" t="n">
        <v>38.72</v>
      </c>
      <c r="G173" s="2" t="inlineStr"/>
      <c r="I173" s="2" t="inlineStr"/>
      <c r="K173" s="2" t="inlineStr"/>
      <c r="L173">
        <f>IF(M173=G173,F173,IF(M173=I173,H173,J173))</f>
        <v/>
      </c>
      <c r="M173" s="2">
        <f>MIN(G173,I173,K173)</f>
        <v/>
      </c>
      <c r="N173" s="2">
        <f>D173*M173</f>
        <v/>
      </c>
      <c r="O173" s="2">
        <f>IF(ISBLANK(E173),0,D173*E173)</f>
        <v/>
      </c>
      <c r="P173" s="3">
        <f>IF(O173=0,0,(O173-N173)/O173)</f>
        <v/>
      </c>
      <c r="Q173" t="n">
        <v>60</v>
      </c>
      <c r="R173" t="inlineStr">
        <is>
          <t>LAUNCH_INVENTORY</t>
        </is>
      </c>
      <c r="S173" t="inlineStr"/>
    </row>
    <row r="174">
      <c r="A174" t="inlineStr">
        <is>
          <t>E2205</t>
        </is>
      </c>
      <c r="B174" t="inlineStr">
        <is>
          <t>M06A</t>
        </is>
      </c>
      <c r="C174" t="inlineStr">
        <is>
          <t>MANUAL WHEELCHAIR ACCESSORY, HANDRIM WITHOUT PROJECTIONS (INCLUDES ERGONOMIC OR CONTOURED), ANY TYPE, REPLACEMENT ONLY, EACH</t>
        </is>
      </c>
      <c r="D174" t="n">
        <v>3</v>
      </c>
      <c r="E174" s="2" t="n">
        <v>36.22</v>
      </c>
      <c r="G174" s="2" t="inlineStr"/>
      <c r="I174" s="2" t="inlineStr"/>
      <c r="K174" s="2" t="inlineStr"/>
      <c r="L174">
        <f>IF(M174=G174,F174,IF(M174=I174,H174,J174))</f>
        <v/>
      </c>
      <c r="M174" s="2">
        <f>MIN(G174,I174,K174)</f>
        <v/>
      </c>
      <c r="N174" s="2">
        <f>D174*M174</f>
        <v/>
      </c>
      <c r="O174" s="2">
        <f>IF(ISBLANK(E174),0,D174*E174)</f>
        <v/>
      </c>
      <c r="P174" s="3">
        <f>IF(O174=0,0,(O174-N174)/O174)</f>
        <v/>
      </c>
      <c r="Q174" t="n">
        <v>60</v>
      </c>
      <c r="R174" t="inlineStr">
        <is>
          <t>LAUNCH_INVENTORY</t>
        </is>
      </c>
      <c r="S174" t="inlineStr"/>
    </row>
    <row r="175">
      <c r="A175" t="inlineStr">
        <is>
          <t>K0070</t>
        </is>
      </c>
      <c r="B175" t="inlineStr">
        <is>
          <t>M06A</t>
        </is>
      </c>
      <c r="C175" t="inlineStr">
        <is>
          <t>REAR WHEEL ASSEMBLY, COMPLETE, WITH PNEUMATIC TIRE, SPOKES OR MOLDED, REPLACEMENT ONLY, EACH</t>
        </is>
      </c>
      <c r="D175" t="n">
        <v>3</v>
      </c>
      <c r="E175" s="2" t="n">
        <v>16.42</v>
      </c>
      <c r="G175" s="2" t="inlineStr"/>
      <c r="I175" s="2" t="inlineStr"/>
      <c r="K175" s="2" t="inlineStr"/>
      <c r="L175">
        <f>IF(M175=G175,F175,IF(M175=I175,H175,J175))</f>
        <v/>
      </c>
      <c r="M175" s="2">
        <f>MIN(G175,I175,K175)</f>
        <v/>
      </c>
      <c r="N175" s="2">
        <f>D175*M175</f>
        <v/>
      </c>
      <c r="O175" s="2">
        <f>IF(ISBLANK(E175),0,D175*E175)</f>
        <v/>
      </c>
      <c r="P175" s="3">
        <f>IF(O175=0,0,(O175-N175)/O175)</f>
        <v/>
      </c>
      <c r="Q175" t="n">
        <v>60</v>
      </c>
      <c r="R175" t="inlineStr">
        <is>
          <t>LAUNCH_INVENTORY</t>
        </is>
      </c>
      <c r="S175" t="inlineStr"/>
    </row>
    <row r="176">
      <c r="A176" t="inlineStr">
        <is>
          <t>K0069</t>
        </is>
      </c>
      <c r="B176" t="inlineStr">
        <is>
          <t>M06A</t>
        </is>
      </c>
      <c r="C176" t="inlineStr">
        <is>
          <t>REAR WHEEL ASSEMBLY, COMPLETE, WITH SOLID TIRE, SPOKES OR MOLDED, REPLACEMENT ONLY, EACH</t>
        </is>
      </c>
      <c r="D176" t="n">
        <v>3</v>
      </c>
      <c r="E176" s="2" t="n">
        <v>98.59</v>
      </c>
      <c r="G176" s="2" t="inlineStr"/>
      <c r="I176" s="2" t="inlineStr"/>
      <c r="K176" s="2" t="inlineStr"/>
      <c r="L176">
        <f>IF(M176=G176,F176,IF(M176=I176,H176,J176))</f>
        <v/>
      </c>
      <c r="M176" s="2">
        <f>MIN(G176,I176,K176)</f>
        <v/>
      </c>
      <c r="N176" s="2">
        <f>D176*M176</f>
        <v/>
      </c>
      <c r="O176" s="2">
        <f>IF(ISBLANK(E176),0,D176*E176)</f>
        <v/>
      </c>
      <c r="P176" s="3">
        <f>IF(O176=0,0,(O176-N176)/O176)</f>
        <v/>
      </c>
      <c r="Q176" t="n">
        <v>60</v>
      </c>
      <c r="R176" t="inlineStr">
        <is>
          <t>LAUNCH_INVENTORY</t>
        </is>
      </c>
      <c r="S176" t="inlineStr"/>
    </row>
    <row r="177">
      <c r="A177" t="inlineStr">
        <is>
          <t>K0056</t>
        </is>
      </c>
      <c r="B177" t="inlineStr">
        <is>
          <t>M06A</t>
        </is>
      </c>
      <c r="C177" t="inlineStr">
        <is>
          <t>SEAT HEIGHT LESS THAN 17" OR EQUAL TO OR GREATER THAN 21" FOR A HIGH STRENGTH, LIGHTWEIGHT, OR ULTRALIGHTWEIGHT WHEELCHAIR</t>
        </is>
      </c>
      <c r="D177" t="n">
        <v>3</v>
      </c>
      <c r="E177" s="2" t="n">
        <v>97.15000000000001</v>
      </c>
      <c r="G177" s="2" t="inlineStr"/>
      <c r="I177" s="2" t="inlineStr"/>
      <c r="K177" s="2" t="inlineStr"/>
      <c r="L177">
        <f>IF(M177=G177,F177,IF(M177=I177,H177,J177))</f>
        <v/>
      </c>
      <c r="M177" s="2">
        <f>MIN(G177,I177,K177)</f>
        <v/>
      </c>
      <c r="N177" s="2">
        <f>D177*M177</f>
        <v/>
      </c>
      <c r="O177" s="2">
        <f>IF(ISBLANK(E177),0,D177*E177)</f>
        <v/>
      </c>
      <c r="P177" s="3">
        <f>IF(O177=0,0,(O177-N177)/O177)</f>
        <v/>
      </c>
      <c r="Q177" t="n">
        <v>60</v>
      </c>
      <c r="R177" t="inlineStr">
        <is>
          <t>LAUNCH_INVENTORY</t>
        </is>
      </c>
      <c r="S177" t="inlineStr"/>
    </row>
    <row r="178">
      <c r="A178" t="inlineStr">
        <is>
          <t>K0053</t>
        </is>
      </c>
      <c r="B178" t="inlineStr">
        <is>
          <t>M06A</t>
        </is>
      </c>
      <c r="C178" t="inlineStr">
        <is>
          <t>ELEVATING FOOTRESTS, ARTICULATING (TELESCOPING), EACH</t>
        </is>
      </c>
      <c r="D178" t="n">
        <v>3</v>
      </c>
      <c r="E178" s="2" t="n">
        <v>90.23</v>
      </c>
      <c r="G178" s="2" t="inlineStr"/>
      <c r="I178" s="2" t="inlineStr"/>
      <c r="K178" s="2" t="inlineStr"/>
      <c r="L178">
        <f>IF(M178=G178,F178,IF(M178=I178,H178,J178))</f>
        <v/>
      </c>
      <c r="M178" s="2">
        <f>MIN(G178,I178,K178)</f>
        <v/>
      </c>
      <c r="N178" s="2">
        <f>D178*M178</f>
        <v/>
      </c>
      <c r="O178" s="2">
        <f>IF(ISBLANK(E178),0,D178*E178)</f>
        <v/>
      </c>
      <c r="P178" s="3">
        <f>IF(O178=0,0,(O178-N178)/O178)</f>
        <v/>
      </c>
      <c r="Q178" t="n">
        <v>60</v>
      </c>
      <c r="R178" t="inlineStr">
        <is>
          <t>LAUNCH_INVENTORY</t>
        </is>
      </c>
      <c r="S178" t="inlineStr"/>
    </row>
    <row r="179">
      <c r="A179" t="inlineStr">
        <is>
          <t>A6443</t>
        </is>
      </c>
      <c r="B179" t="inlineStr">
        <is>
          <t>S01</t>
        </is>
      </c>
      <c r="C179" t="inlineStr">
        <is>
          <t>CONFORMING BANDAGE, NON-ELASTIC, KNITTED/WOVEN, NON-STERILE, WIDTH GREATER THAN OR EQUAL TO THREE INCHES AND LESS THAN FIVE INCHES, PER YARD</t>
        </is>
      </c>
      <c r="D179" t="n">
        <v>3</v>
      </c>
      <c r="E179" s="2" t="n">
        <v>0.39</v>
      </c>
      <c r="G179" s="2" t="inlineStr"/>
      <c r="I179" s="2" t="inlineStr"/>
      <c r="K179" s="2" t="inlineStr"/>
      <c r="L179">
        <f>IF(M179=G179,F179,IF(M179=I179,H179,J179))</f>
        <v/>
      </c>
      <c r="M179" s="2">
        <f>MIN(G179,I179,K179)</f>
        <v/>
      </c>
      <c r="N179" s="2">
        <f>D179*M179</f>
        <v/>
      </c>
      <c r="O179" s="2">
        <f>IF(ISBLANK(E179),0,D179*E179)</f>
        <v/>
      </c>
      <c r="P179" s="3">
        <f>IF(O179=0,0,(O179-N179)/O179)</f>
        <v/>
      </c>
      <c r="Q179" t="n">
        <v>60</v>
      </c>
      <c r="R179" t="inlineStr">
        <is>
          <t>LAUNCH_INVENTORY</t>
        </is>
      </c>
      <c r="S179" t="inlineStr"/>
    </row>
    <row r="180">
      <c r="A180" t="inlineStr">
        <is>
          <t>A6538</t>
        </is>
      </c>
      <c r="B180" t="inlineStr">
        <is>
          <t>S01</t>
        </is>
      </c>
      <c r="C180" t="inlineStr">
        <is>
          <t>GRADIENT COMPRESSION STOCKING, FULL LENGTH/CHAP STYLE, 40 MMHG OR GREATER, EACH</t>
        </is>
      </c>
      <c r="D180" t="n">
        <v>3</v>
      </c>
      <c r="E180" s="2" t="n">
        <v>99.95</v>
      </c>
      <c r="G180" s="2" t="inlineStr"/>
      <c r="I180" s="2" t="inlineStr"/>
      <c r="K180" s="2" t="inlineStr"/>
      <c r="L180">
        <f>IF(M180=G180,F180,IF(M180=I180,H180,J180))</f>
        <v/>
      </c>
      <c r="M180" s="2">
        <f>MIN(G180,I180,K180)</f>
        <v/>
      </c>
      <c r="N180" s="2">
        <f>D180*M180</f>
        <v/>
      </c>
      <c r="O180" s="2">
        <f>IF(ISBLANK(E180),0,D180*E180)</f>
        <v/>
      </c>
      <c r="P180" s="3">
        <f>IF(O180=0,0,(O180-N180)/O180)</f>
        <v/>
      </c>
      <c r="Q180" t="n">
        <v>60</v>
      </c>
      <c r="R180" t="inlineStr">
        <is>
          <t>LAUNCH_INVENTORY</t>
        </is>
      </c>
      <c r="S180" t="inlineStr"/>
    </row>
    <row r="181">
      <c r="A181" t="inlineStr">
        <is>
          <t>A6537</t>
        </is>
      </c>
      <c r="B181" t="inlineStr">
        <is>
          <t>S01</t>
        </is>
      </c>
      <c r="C181" t="inlineStr">
        <is>
          <t>GRADIENT COMPRESSION STOCKING, FULL LENGTH/CHAP STYLE, 30-40 MMHG, EACH</t>
        </is>
      </c>
      <c r="D181" t="n">
        <v>3</v>
      </c>
      <c r="E181" s="2" t="n">
        <v>85.37</v>
      </c>
      <c r="G181" s="2" t="inlineStr"/>
      <c r="I181" s="2" t="inlineStr"/>
      <c r="K181" s="2" t="inlineStr"/>
      <c r="L181">
        <f>IF(M181=G181,F181,IF(M181=I181,H181,J181))</f>
        <v/>
      </c>
      <c r="M181" s="2">
        <f>MIN(G181,I181,K181)</f>
        <v/>
      </c>
      <c r="N181" s="2">
        <f>D181*M181</f>
        <v/>
      </c>
      <c r="O181" s="2">
        <f>IF(ISBLANK(E181),0,D181*E181)</f>
        <v/>
      </c>
      <c r="P181" s="3">
        <f>IF(O181=0,0,(O181-N181)/O181)</f>
        <v/>
      </c>
      <c r="Q181" t="n">
        <v>60</v>
      </c>
      <c r="R181" t="inlineStr">
        <is>
          <t>LAUNCH_INVENTORY</t>
        </is>
      </c>
      <c r="S181" t="inlineStr"/>
    </row>
    <row r="182">
      <c r="A182" t="inlineStr">
        <is>
          <t>A6259</t>
        </is>
      </c>
      <c r="B182" t="inlineStr">
        <is>
          <t>S01</t>
        </is>
      </c>
      <c r="C182" t="inlineStr">
        <is>
          <t>TRANSPARENT FILM, STERILE, MORE THAN 48 SQ. IN., EACH DRESSING</t>
        </is>
      </c>
      <c r="D182" t="n">
        <v>3</v>
      </c>
      <c r="E182" s="2" t="n">
        <v>15.28</v>
      </c>
      <c r="G182" s="2" t="inlineStr"/>
      <c r="I182" s="2" t="inlineStr"/>
      <c r="K182" s="2" t="inlineStr"/>
      <c r="L182">
        <f>IF(M182=G182,F182,IF(M182=I182,H182,J182))</f>
        <v/>
      </c>
      <c r="M182" s="2">
        <f>MIN(G182,I182,K182)</f>
        <v/>
      </c>
      <c r="N182" s="2">
        <f>D182*M182</f>
        <v/>
      </c>
      <c r="O182" s="2">
        <f>IF(ISBLANK(E182),0,D182*E182)</f>
        <v/>
      </c>
      <c r="P182" s="3">
        <f>IF(O182=0,0,(O182-N182)/O182)</f>
        <v/>
      </c>
      <c r="Q182" t="n">
        <v>60</v>
      </c>
      <c r="R182" t="inlineStr">
        <is>
          <t>LAUNCH_INVENTORY</t>
        </is>
      </c>
      <c r="S182" t="inlineStr"/>
    </row>
    <row r="183">
      <c r="A183" t="inlineStr">
        <is>
          <t>A6407</t>
        </is>
      </c>
      <c r="B183" t="inlineStr">
        <is>
          <t>S01</t>
        </is>
      </c>
      <c r="C183" t="inlineStr">
        <is>
          <t>PACKING STRIPS, NON-IMPREGNATED, STERILE, UP TO 2 INCHES IN WIDTH, PER LINEAR YARD</t>
        </is>
      </c>
      <c r="D183" t="n">
        <v>3</v>
      </c>
      <c r="E183" s="2" t="n">
        <v>2.61</v>
      </c>
      <c r="G183" s="2" t="inlineStr"/>
      <c r="I183" s="2" t="inlineStr"/>
      <c r="K183" s="2" t="inlineStr"/>
      <c r="L183">
        <f>IF(M183=G183,F183,IF(M183=I183,H183,J183))</f>
        <v/>
      </c>
      <c r="M183" s="2">
        <f>MIN(G183,I183,K183)</f>
        <v/>
      </c>
      <c r="N183" s="2">
        <f>D183*M183</f>
        <v/>
      </c>
      <c r="O183" s="2">
        <f>IF(ISBLANK(E183),0,D183*E183)</f>
        <v/>
      </c>
      <c r="P183" s="3">
        <f>IF(O183=0,0,(O183-N183)/O183)</f>
        <v/>
      </c>
      <c r="Q183" t="n">
        <v>60</v>
      </c>
      <c r="R183" t="inlineStr">
        <is>
          <t>LAUNCH_INVENTORY</t>
        </is>
      </c>
      <c r="S183" t="inlineStr"/>
    </row>
    <row r="184">
      <c r="A184" t="inlineStr">
        <is>
          <t>A6596</t>
        </is>
      </c>
      <c r="B184" t="inlineStr">
        <is>
          <t>S04</t>
        </is>
      </c>
      <c r="C184" t="inlineStr">
        <is>
          <t>GRADIENT COMPRESSION BANDAGING SUPPLY, CONFORMING GAUZE, PER LINEAR YARD, ANY WIDTH, EACH</t>
        </is>
      </c>
      <c r="D184" t="n">
        <v>3</v>
      </c>
      <c r="E184" s="2" t="n">
        <v>0.18</v>
      </c>
      <c r="G184" s="2" t="inlineStr"/>
      <c r="I184" s="2" t="inlineStr"/>
      <c r="K184" s="2" t="inlineStr"/>
      <c r="L184">
        <f>IF(M184=G184,F184,IF(M184=I184,H184,J184))</f>
        <v/>
      </c>
      <c r="M184" s="2">
        <f>MIN(G184,I184,K184)</f>
        <v/>
      </c>
      <c r="N184" s="2">
        <f>D184*M184</f>
        <v/>
      </c>
      <c r="O184" s="2">
        <f>IF(ISBLANK(E184),0,D184*E184)</f>
        <v/>
      </c>
      <c r="P184" s="3">
        <f>IF(O184=0,0,(O184-N184)/O184)</f>
        <v/>
      </c>
      <c r="Q184" t="n">
        <v>60</v>
      </c>
      <c r="R184" t="inlineStr">
        <is>
          <t>LAUNCH_INVENTORY</t>
        </is>
      </c>
      <c r="S184" t="inlineStr"/>
    </row>
    <row r="185">
      <c r="A185" t="inlineStr">
        <is>
          <t>A6597</t>
        </is>
      </c>
      <c r="B185" t="inlineStr">
        <is>
          <t>S04</t>
        </is>
      </c>
      <c r="C185" t="inlineStr">
        <is>
          <t>GRADIENT COMPRESSION BANDAGE ROLL, ELASTIC LONG STRETCH, LINEAR YARD, ANY WIDTH, EACH</t>
        </is>
      </c>
      <c r="D185" t="n">
        <v>3</v>
      </c>
      <c r="E185" s="2" t="n">
        <v>1.51</v>
      </c>
      <c r="G185" s="2" t="inlineStr"/>
      <c r="I185" s="2" t="inlineStr"/>
      <c r="K185" s="2" t="inlineStr"/>
      <c r="L185">
        <f>IF(M185=G185,F185,IF(M185=I185,H185,J185))</f>
        <v/>
      </c>
      <c r="M185" s="2">
        <f>MIN(G185,I185,K185)</f>
        <v/>
      </c>
      <c r="N185" s="2">
        <f>D185*M185</f>
        <v/>
      </c>
      <c r="O185" s="2">
        <f>IF(ISBLANK(E185),0,D185*E185)</f>
        <v/>
      </c>
      <c r="P185" s="3">
        <f>IF(O185=0,0,(O185-N185)/O185)</f>
        <v/>
      </c>
      <c r="Q185" t="n">
        <v>60</v>
      </c>
      <c r="R185" t="inlineStr">
        <is>
          <t>LAUNCH_INVENTORY</t>
        </is>
      </c>
      <c r="S185" t="inlineStr"/>
    </row>
    <row r="186">
      <c r="A186" t="inlineStr">
        <is>
          <t>A6245</t>
        </is>
      </c>
      <c r="B186" t="inlineStr">
        <is>
          <t>S01</t>
        </is>
      </c>
      <c r="C186" t="inlineStr">
        <is>
          <t>HYDROGEL DRESSING, WOUND COVER, STERILE, PAD SIZE 16 SQ. IN. OR LESS, WITH ANY SIZE ADHESIVE BORDER, EACH DRESSING</t>
        </is>
      </c>
      <c r="D186" t="n">
        <v>3</v>
      </c>
      <c r="E186" s="2" t="n">
        <v>10.16</v>
      </c>
      <c r="G186" s="2" t="inlineStr"/>
      <c r="I186" s="2" t="inlineStr"/>
      <c r="K186" s="2" t="inlineStr"/>
      <c r="L186">
        <f>IF(M186=G186,F186,IF(M186=I186,H186,J186))</f>
        <v/>
      </c>
      <c r="M186" s="2">
        <f>MIN(G186,I186,K186)</f>
        <v/>
      </c>
      <c r="N186" s="2">
        <f>D186*M186</f>
        <v/>
      </c>
      <c r="O186" s="2">
        <f>IF(ISBLANK(E186),0,D186*E186)</f>
        <v/>
      </c>
      <c r="P186" s="3">
        <f>IF(O186=0,0,(O186-N186)/O186)</f>
        <v/>
      </c>
      <c r="Q186" t="n">
        <v>60</v>
      </c>
      <c r="R186" t="inlineStr">
        <is>
          <t>LAUNCH_INVENTORY</t>
        </is>
      </c>
      <c r="S186" t="inlineStr"/>
    </row>
    <row r="187">
      <c r="A187" t="inlineStr">
        <is>
          <t>A6586</t>
        </is>
      </c>
      <c r="B187" t="inlineStr">
        <is>
          <t>S04</t>
        </is>
      </c>
      <c r="C187" t="inlineStr">
        <is>
          <t>GRADIENT COMPRESSION WRAP WITH ADJUSTABLE STRAPS, FULL LEG, EACH</t>
        </is>
      </c>
      <c r="D187" t="n">
        <v>3</v>
      </c>
      <c r="E187" s="2" t="n">
        <v>543.9</v>
      </c>
      <c r="G187" s="2" t="inlineStr"/>
      <c r="I187" s="2" t="inlineStr"/>
      <c r="K187" s="2" t="inlineStr"/>
      <c r="L187">
        <f>IF(M187=G187,F187,IF(M187=I187,H187,J187))</f>
        <v/>
      </c>
      <c r="M187" s="2">
        <f>MIN(G187,I187,K187)</f>
        <v/>
      </c>
      <c r="N187" s="2">
        <f>D187*M187</f>
        <v/>
      </c>
      <c r="O187" s="2">
        <f>IF(ISBLANK(E187),0,D187*E187)</f>
        <v/>
      </c>
      <c r="P187" s="3">
        <f>IF(O187=0,0,(O187-N187)/O187)</f>
        <v/>
      </c>
      <c r="Q187" t="n">
        <v>60</v>
      </c>
      <c r="R187" t="inlineStr">
        <is>
          <t>LAUNCH_INVENTORY</t>
        </is>
      </c>
      <c r="S187" t="inlineStr"/>
    </row>
    <row r="188">
      <c r="A188" t="inlineStr">
        <is>
          <t>A6585</t>
        </is>
      </c>
      <c r="B188" t="inlineStr">
        <is>
          <t>S04</t>
        </is>
      </c>
      <c r="C188" t="inlineStr">
        <is>
          <t>GRADIENT COMPRESSION WRAP WITH ADJUSTABLE STRAPS, ABOVE KNEE, EACH</t>
        </is>
      </c>
      <c r="D188" t="n">
        <v>3</v>
      </c>
      <c r="E188" s="2" t="n">
        <v>184.62</v>
      </c>
      <c r="G188" s="2" t="inlineStr"/>
      <c r="I188" s="2" t="inlineStr"/>
      <c r="K188" s="2" t="inlineStr"/>
      <c r="L188">
        <f>IF(M188=G188,F188,IF(M188=I188,H188,J188))</f>
        <v/>
      </c>
      <c r="M188" s="2">
        <f>MIN(G188,I188,K188)</f>
        <v/>
      </c>
      <c r="N188" s="2">
        <f>D188*M188</f>
        <v/>
      </c>
      <c r="O188" s="2">
        <f>IF(ISBLANK(E188),0,D188*E188)</f>
        <v/>
      </c>
      <c r="P188" s="3">
        <f>IF(O188=0,0,(O188-N188)/O188)</f>
        <v/>
      </c>
      <c r="Q188" t="n">
        <v>60</v>
      </c>
      <c r="R188" t="inlineStr">
        <is>
          <t>LAUNCH_INVENTORY</t>
        </is>
      </c>
      <c r="S188" t="inlineStr"/>
    </row>
    <row r="189">
      <c r="A189" t="inlineStr">
        <is>
          <t>A6602</t>
        </is>
      </c>
      <c r="B189" t="inlineStr">
        <is>
          <t>S04</t>
        </is>
      </c>
      <c r="C189" t="inlineStr">
        <is>
          <t>GRADIENT COMPRESSION BANDAGING SUPPLY, HIGH DENSITY FOAM ROLL FOR BANDAGE, PER LINEAR YARD, ANY WIDTH, EACH</t>
        </is>
      </c>
      <c r="D189" t="n">
        <v>3</v>
      </c>
      <c r="E189" s="2" t="n">
        <v>4.9</v>
      </c>
      <c r="G189" s="2" t="inlineStr"/>
      <c r="I189" s="2" t="inlineStr"/>
      <c r="K189" s="2" t="inlineStr"/>
      <c r="L189">
        <f>IF(M189=G189,F189,IF(M189=I189,H189,J189))</f>
        <v/>
      </c>
      <c r="M189" s="2">
        <f>MIN(G189,I189,K189)</f>
        <v/>
      </c>
      <c r="N189" s="2">
        <f>D189*M189</f>
        <v/>
      </c>
      <c r="O189" s="2">
        <f>IF(ISBLANK(E189),0,D189*E189)</f>
        <v/>
      </c>
      <c r="P189" s="3">
        <f>IF(O189=0,0,(O189-N189)/O189)</f>
        <v/>
      </c>
      <c r="Q189" t="n">
        <v>60</v>
      </c>
      <c r="R189" t="inlineStr">
        <is>
          <t>LAUNCH_INVENTORY</t>
        </is>
      </c>
      <c r="S189" t="inlineStr"/>
    </row>
    <row r="190">
      <c r="A190" t="inlineStr">
        <is>
          <t>A6199</t>
        </is>
      </c>
      <c r="B190" t="inlineStr">
        <is>
          <t>S01</t>
        </is>
      </c>
      <c r="C190" t="inlineStr">
        <is>
          <t>ALGINATE OR OTHER FIBER GELLING DRESSING, WOUND FILLER, STERILE, PER 6 INCHES</t>
        </is>
      </c>
      <c r="D190" t="n">
        <v>3</v>
      </c>
      <c r="E190" s="2" t="n">
        <v>7.37</v>
      </c>
      <c r="G190" s="2" t="inlineStr"/>
      <c r="I190" s="2" t="inlineStr"/>
      <c r="K190" s="2" t="inlineStr"/>
      <c r="L190">
        <f>IF(M190=G190,F190,IF(M190=I190,H190,J190))</f>
        <v/>
      </c>
      <c r="M190" s="2">
        <f>MIN(G190,I190,K190)</f>
        <v/>
      </c>
      <c r="N190" s="2">
        <f>D190*M190</f>
        <v/>
      </c>
      <c r="O190" s="2">
        <f>IF(ISBLANK(E190),0,D190*E190)</f>
        <v/>
      </c>
      <c r="P190" s="3">
        <f>IF(O190=0,0,(O190-N190)/O190)</f>
        <v/>
      </c>
      <c r="Q190" t="n">
        <v>60</v>
      </c>
      <c r="R190" t="inlineStr">
        <is>
          <t>LAUNCH_INVENTORY</t>
        </is>
      </c>
      <c r="S190" t="inlineStr"/>
    </row>
    <row r="191">
      <c r="A191" t="inlineStr">
        <is>
          <t>A6254</t>
        </is>
      </c>
      <c r="B191" t="inlineStr">
        <is>
          <t>S01</t>
        </is>
      </c>
      <c r="C191" t="inlineStr">
        <is>
          <t>SPECIALTY ABSORPTIVE DRESSING, WOUND COVER, STERILE, PAD SIZE 16 SQ. IN. OR LESS, WITH ANY SIZE ADHESIVE BORDER, EACH DRESSING</t>
        </is>
      </c>
      <c r="D191" t="n">
        <v>3</v>
      </c>
      <c r="E191" s="2" t="n">
        <v>1.67</v>
      </c>
      <c r="G191" s="2" t="inlineStr"/>
      <c r="I191" s="2" t="inlineStr"/>
      <c r="K191" s="2" t="inlineStr"/>
      <c r="L191">
        <f>IF(M191=G191,F191,IF(M191=I191,H191,J191))</f>
        <v/>
      </c>
      <c r="M191" s="2">
        <f>MIN(G191,I191,K191)</f>
        <v/>
      </c>
      <c r="N191" s="2">
        <f>D191*M191</f>
        <v/>
      </c>
      <c r="O191" s="2">
        <f>IF(ISBLANK(E191),0,D191*E191)</f>
        <v/>
      </c>
      <c r="P191" s="3">
        <f>IF(O191=0,0,(O191-N191)/O191)</f>
        <v/>
      </c>
      <c r="Q191" t="n">
        <v>60</v>
      </c>
      <c r="R191" t="inlineStr">
        <is>
          <t>LAUNCH_INVENTORY</t>
        </is>
      </c>
      <c r="S191" t="inlineStr"/>
    </row>
    <row r="192">
      <c r="A192" t="inlineStr">
        <is>
          <t>A6255</t>
        </is>
      </c>
      <c r="B192" t="inlineStr">
        <is>
          <t>S01</t>
        </is>
      </c>
      <c r="C192" t="inlineStr">
        <is>
          <t>SPECIALTY ABSORPTIVE DRESSING, WOUND COVER, STERILE, PAD SIZE MORE THAN 16 SQ. IN. BUT LESS THAN OR EQUAL TO 48 SQ. IN., WITH ANY SIZE ADHESIVE BORDER, EACH DRESSING</t>
        </is>
      </c>
      <c r="D192" t="n">
        <v>3</v>
      </c>
      <c r="E192" s="2" t="n">
        <v>4.25</v>
      </c>
      <c r="G192" s="2" t="inlineStr"/>
      <c r="I192" s="2" t="inlineStr"/>
      <c r="K192" s="2" t="inlineStr"/>
      <c r="L192">
        <f>IF(M192=G192,F192,IF(M192=I192,H192,J192))</f>
        <v/>
      </c>
      <c r="M192" s="2">
        <f>MIN(G192,I192,K192)</f>
        <v/>
      </c>
      <c r="N192" s="2">
        <f>D192*M192</f>
        <v/>
      </c>
      <c r="O192" s="2">
        <f>IF(ISBLANK(E192),0,D192*E192)</f>
        <v/>
      </c>
      <c r="P192" s="3">
        <f>IF(O192=0,0,(O192-N192)/O192)</f>
        <v/>
      </c>
      <c r="Q192" t="n">
        <v>60</v>
      </c>
      <c r="R192" t="inlineStr">
        <is>
          <t>LAUNCH_INVENTORY</t>
        </is>
      </c>
      <c r="S192" t="inlineStr"/>
    </row>
    <row r="193">
      <c r="A193" t="inlineStr">
        <is>
          <t>A6257</t>
        </is>
      </c>
      <c r="B193" t="inlineStr">
        <is>
          <t>S01</t>
        </is>
      </c>
      <c r="C193" t="inlineStr">
        <is>
          <t>TRANSPARENT FILM, STERILE, 16 SQ. IN. OR LESS, EACH DRESSING</t>
        </is>
      </c>
      <c r="D193" t="n">
        <v>3</v>
      </c>
      <c r="E193" s="2" t="n">
        <v>2.14</v>
      </c>
      <c r="G193" s="2" t="inlineStr"/>
      <c r="I193" s="2" t="inlineStr"/>
      <c r="K193" s="2" t="inlineStr"/>
      <c r="L193">
        <f>IF(M193=G193,F193,IF(M193=I193,H193,J193))</f>
        <v/>
      </c>
      <c r="M193" s="2">
        <f>MIN(G193,I193,K193)</f>
        <v/>
      </c>
      <c r="N193" s="2">
        <f>D193*M193</f>
        <v/>
      </c>
      <c r="O193" s="2">
        <f>IF(ISBLANK(E193),0,D193*E193)</f>
        <v/>
      </c>
      <c r="P193" s="3">
        <f>IF(O193=0,0,(O193-N193)/O193)</f>
        <v/>
      </c>
      <c r="Q193" t="n">
        <v>60</v>
      </c>
      <c r="R193" t="inlineStr">
        <is>
          <t>LAUNCH_INVENTORY</t>
        </is>
      </c>
      <c r="S193" t="inlineStr"/>
    </row>
    <row r="194">
      <c r="A194" t="inlineStr">
        <is>
          <t>A6258</t>
        </is>
      </c>
      <c r="B194" t="inlineStr">
        <is>
          <t>S01</t>
        </is>
      </c>
      <c r="C194" t="inlineStr">
        <is>
          <t>TRANSPARENT FILM, STERILE, MORE THAN 16 SQ. IN. BUT LESS THAN OR EQUAL TO 48 SQ. IN., EACH DRESSING</t>
        </is>
      </c>
      <c r="D194" t="n">
        <v>3</v>
      </c>
      <c r="E194" s="2" t="n">
        <v>6.02</v>
      </c>
      <c r="G194" s="2" t="inlineStr"/>
      <c r="I194" s="2" t="inlineStr"/>
      <c r="K194" s="2" t="inlineStr"/>
      <c r="L194">
        <f>IF(M194=G194,F194,IF(M194=I194,H194,J194))</f>
        <v/>
      </c>
      <c r="M194" s="2">
        <f>MIN(G194,I194,K194)</f>
        <v/>
      </c>
      <c r="N194" s="2">
        <f>D194*M194</f>
        <v/>
      </c>
      <c r="O194" s="2">
        <f>IF(ISBLANK(E194),0,D194*E194)</f>
        <v/>
      </c>
      <c r="P194" s="3">
        <f>IF(O194=0,0,(O194-N194)/O194)</f>
        <v/>
      </c>
      <c r="Q194" t="n">
        <v>60</v>
      </c>
      <c r="R194" t="inlineStr">
        <is>
          <t>LAUNCH_INVENTORY</t>
        </is>
      </c>
      <c r="S194" t="inlineStr"/>
    </row>
    <row r="195">
      <c r="A195" t="inlineStr">
        <is>
          <t>K0037</t>
        </is>
      </c>
      <c r="B195" t="inlineStr">
        <is>
          <t>M06A</t>
        </is>
      </c>
      <c r="C195" t="inlineStr">
        <is>
          <t>HIGH MOUNT FLIP-UP FOOTREST, EACH</t>
        </is>
      </c>
      <c r="D195" t="n">
        <v>3</v>
      </c>
      <c r="E195" s="2" t="n">
        <v>49.29</v>
      </c>
      <c r="G195" s="2" t="inlineStr"/>
      <c r="I195" s="2" t="inlineStr"/>
      <c r="K195" s="2" t="inlineStr"/>
      <c r="L195">
        <f>IF(M195=G195,F195,IF(M195=I195,H195,J195))</f>
        <v/>
      </c>
      <c r="M195" s="2">
        <f>MIN(G195,I195,K195)</f>
        <v/>
      </c>
      <c r="N195" s="2">
        <f>D195*M195</f>
        <v/>
      </c>
      <c r="O195" s="2">
        <f>IF(ISBLANK(E195),0,D195*E195)</f>
        <v/>
      </c>
      <c r="P195" s="3">
        <f>IF(O195=0,0,(O195-N195)/O195)</f>
        <v/>
      </c>
      <c r="Q195" t="n">
        <v>60</v>
      </c>
      <c r="R195" t="inlineStr">
        <is>
          <t>LAUNCH_INVENTORY</t>
        </is>
      </c>
      <c r="S195" t="inlineStr"/>
    </row>
    <row r="196">
      <c r="A196" t="inlineStr">
        <is>
          <t>A6442</t>
        </is>
      </c>
      <c r="B196" t="inlineStr">
        <is>
          <t>S01</t>
        </is>
      </c>
      <c r="C196" t="inlineStr">
        <is>
          <t>CONFORMING BANDAGE, NON-ELASTIC, KNITTED/WOVEN, NON-STERILE, WIDTH LESS THAN THREE INCHES, PER YARD</t>
        </is>
      </c>
      <c r="D196" t="n">
        <v>3</v>
      </c>
      <c r="E196" s="2" t="n">
        <v>0.23</v>
      </c>
      <c r="G196" s="2" t="inlineStr"/>
      <c r="I196" s="2" t="inlineStr"/>
      <c r="K196" s="2" t="inlineStr"/>
      <c r="L196">
        <f>IF(M196=G196,F196,IF(M196=I196,H196,J196))</f>
        <v/>
      </c>
      <c r="M196" s="2">
        <f>MIN(G196,I196,K196)</f>
        <v/>
      </c>
      <c r="N196" s="2">
        <f>D196*M196</f>
        <v/>
      </c>
      <c r="O196" s="2">
        <f>IF(ISBLANK(E196),0,D196*E196)</f>
        <v/>
      </c>
      <c r="P196" s="3">
        <f>IF(O196=0,0,(O196-N196)/O196)</f>
        <v/>
      </c>
      <c r="Q196" t="n">
        <v>60</v>
      </c>
      <c r="R196" t="inlineStr">
        <is>
          <t>LAUNCH_INVENTORY</t>
        </is>
      </c>
      <c r="S196" t="inlineStr"/>
    </row>
    <row r="197">
      <c r="A197" t="inlineStr">
        <is>
          <t>A6410</t>
        </is>
      </c>
      <c r="B197" t="inlineStr">
        <is>
          <t>S01</t>
        </is>
      </c>
      <c r="C197" t="inlineStr">
        <is>
          <t>EYE PAD, STERILE, EACH</t>
        </is>
      </c>
      <c r="D197" t="n">
        <v>3</v>
      </c>
      <c r="E197" s="2" t="n">
        <v>0.52</v>
      </c>
      <c r="G197" s="2" t="inlineStr"/>
      <c r="I197" s="2" t="inlineStr"/>
      <c r="K197" s="2" t="inlineStr"/>
      <c r="L197">
        <f>IF(M197=G197,F197,IF(M197=I197,H197,J197))</f>
        <v/>
      </c>
      <c r="M197" s="2">
        <f>MIN(G197,I197,K197)</f>
        <v/>
      </c>
      <c r="N197" s="2">
        <f>D197*M197</f>
        <v/>
      </c>
      <c r="O197" s="2">
        <f>IF(ISBLANK(E197),0,D197*E197)</f>
        <v/>
      </c>
      <c r="P197" s="3">
        <f>IF(O197=0,0,(O197-N197)/O197)</f>
        <v/>
      </c>
      <c r="Q197" t="n">
        <v>60</v>
      </c>
      <c r="R197" t="inlineStr">
        <is>
          <t>LAUNCH_INVENTORY</t>
        </is>
      </c>
      <c r="S197" t="inlineStr"/>
    </row>
    <row r="198">
      <c r="A198" t="inlineStr">
        <is>
          <t>A6454</t>
        </is>
      </c>
      <c r="B198" t="inlineStr">
        <is>
          <t>S01</t>
        </is>
      </c>
      <c r="C198" t="inlineStr">
        <is>
          <t>SELF-ADHERENT BANDAGE, ELASTIC, NON-KNITTED/NON-WOVEN, WIDTH GREATER THAN OR EQUAL TO THREE INCHES AND LESS THAN FIVE INCHES, PER YARD</t>
        </is>
      </c>
      <c r="D198" t="n">
        <v>3</v>
      </c>
      <c r="E198" s="2" t="n">
        <v>1.1</v>
      </c>
      <c r="G198" s="2" t="inlineStr"/>
      <c r="I198" s="2" t="inlineStr"/>
      <c r="K198" s="2" t="inlineStr"/>
      <c r="L198">
        <f>IF(M198=G198,F198,IF(M198=I198,H198,J198))</f>
        <v/>
      </c>
      <c r="M198" s="2">
        <f>MIN(G198,I198,K198)</f>
        <v/>
      </c>
      <c r="N198" s="2">
        <f>D198*M198</f>
        <v/>
      </c>
      <c r="O198" s="2">
        <f>IF(ISBLANK(E198),0,D198*E198)</f>
        <v/>
      </c>
      <c r="P198" s="3">
        <f>IF(O198=0,0,(O198-N198)/O198)</f>
        <v/>
      </c>
      <c r="Q198" t="n">
        <v>60</v>
      </c>
      <c r="R198" t="inlineStr">
        <is>
          <t>LAUNCH_INVENTORY</t>
        </is>
      </c>
      <c r="S198" t="inlineStr"/>
    </row>
    <row r="199">
      <c r="A199" t="inlineStr">
        <is>
          <t>A6403</t>
        </is>
      </c>
      <c r="B199" t="inlineStr">
        <is>
          <t>S01</t>
        </is>
      </c>
      <c r="C199" t="inlineStr">
        <is>
          <t>GAUZE, NON-IMPREGNATED, STERILE, PAD SIZE MORE THAN 16 SQ. IN. LESS THAN OR EQUAL TO 48 SQ. IN., WITHOUT ADHESIVE BORDER, EACH DRESSING</t>
        </is>
      </c>
      <c r="D199" t="n">
        <v>3</v>
      </c>
      <c r="E199" s="2" t="n">
        <v>0.57</v>
      </c>
      <c r="G199" s="2" t="inlineStr"/>
      <c r="I199" s="2" t="inlineStr"/>
      <c r="K199" s="2" t="inlineStr"/>
      <c r="L199">
        <f>IF(M199=G199,F199,IF(M199=I199,H199,J199))</f>
        <v/>
      </c>
      <c r="M199" s="2">
        <f>MIN(G199,I199,K199)</f>
        <v/>
      </c>
      <c r="N199" s="2">
        <f>D199*M199</f>
        <v/>
      </c>
      <c r="O199" s="2">
        <f>IF(ISBLANK(E199),0,D199*E199)</f>
        <v/>
      </c>
      <c r="P199" s="3">
        <f>IF(O199=0,0,(O199-N199)/O199)</f>
        <v/>
      </c>
      <c r="Q199" t="n">
        <v>60</v>
      </c>
      <c r="R199" t="inlineStr">
        <is>
          <t>LAUNCH_INVENTORY</t>
        </is>
      </c>
      <c r="S199" t="inlineStr"/>
    </row>
    <row r="200">
      <c r="A200" t="inlineStr">
        <is>
          <t>A6446</t>
        </is>
      </c>
      <c r="B200" t="inlineStr">
        <is>
          <t>S01</t>
        </is>
      </c>
      <c r="C200" t="inlineStr">
        <is>
          <t>CONFORMING BANDAGE, NON-ELASTIC, KNITTED/WOVEN, STERILE, WIDTH GREATER THAN OR EQUAL TO THREE INCHES AND LESS THAN FIVE INCHES, PER YARD</t>
        </is>
      </c>
      <c r="D200" t="n">
        <v>3</v>
      </c>
      <c r="E200" s="2" t="n">
        <v>0.54</v>
      </c>
      <c r="G200" s="2" t="inlineStr"/>
      <c r="I200" s="2" t="inlineStr"/>
      <c r="K200" s="2" t="inlineStr"/>
      <c r="L200">
        <f>IF(M200=G200,F200,IF(M200=I200,H200,J200))</f>
        <v/>
      </c>
      <c r="M200" s="2">
        <f>MIN(G200,I200,K200)</f>
        <v/>
      </c>
      <c r="N200" s="2">
        <f>D200*M200</f>
        <v/>
      </c>
      <c r="O200" s="2">
        <f>IF(ISBLANK(E200),0,D200*E200)</f>
        <v/>
      </c>
      <c r="P200" s="3">
        <f>IF(O200=0,0,(O200-N200)/O200)</f>
        <v/>
      </c>
      <c r="Q200" t="n">
        <v>60</v>
      </c>
      <c r="R200" t="inlineStr">
        <is>
          <t>LAUNCH_INVENTORY</t>
        </is>
      </c>
      <c r="S200" t="inlineStr"/>
    </row>
    <row r="201">
      <c r="A201" t="inlineStr">
        <is>
          <t>A6445</t>
        </is>
      </c>
      <c r="B201" t="inlineStr">
        <is>
          <t>S01</t>
        </is>
      </c>
      <c r="C201" t="inlineStr">
        <is>
          <t>CONFORMING BANDAGE, NON-ELASTIC, KNITTED/WOVEN, STERILE, WIDTH LESS THAN THREE INCHES, PER YARD</t>
        </is>
      </c>
      <c r="D201" t="n">
        <v>3</v>
      </c>
      <c r="E201" s="2" t="n">
        <v>0.44</v>
      </c>
      <c r="G201" s="2" t="inlineStr"/>
      <c r="I201" s="2" t="inlineStr"/>
      <c r="K201" s="2" t="inlineStr"/>
      <c r="L201">
        <f>IF(M201=G201,F201,IF(M201=I201,H201,J201))</f>
        <v/>
      </c>
      <c r="M201" s="2">
        <f>MIN(G201,I201,K201)</f>
        <v/>
      </c>
      <c r="N201" s="2">
        <f>D201*M201</f>
        <v/>
      </c>
      <c r="O201" s="2">
        <f>IF(ISBLANK(E201),0,D201*E201)</f>
        <v/>
      </c>
      <c r="P201" s="3">
        <f>IF(O201=0,0,(O201-N201)/O201)</f>
        <v/>
      </c>
      <c r="Q201" t="n">
        <v>60</v>
      </c>
      <c r="R201" t="inlineStr">
        <is>
          <t>LAUNCH_INVENTORY</t>
        </is>
      </c>
      <c r="S201" t="inlineStr"/>
    </row>
    <row r="202">
      <c r="A202" t="inlineStr">
        <is>
          <t>A6444</t>
        </is>
      </c>
      <c r="B202" t="inlineStr">
        <is>
          <t>S01</t>
        </is>
      </c>
      <c r="C202" t="inlineStr">
        <is>
          <t>CONFORMING BANDAGE, NON-ELASTIC, KNITTED/WOVEN, NON-STERILE, WIDTH GREATER THAN OR EQUAL TO 5 INCHES, PER YARD</t>
        </is>
      </c>
      <c r="D202" t="n">
        <v>3</v>
      </c>
      <c r="E202" s="2" t="n">
        <v>0.78</v>
      </c>
      <c r="G202" s="2" t="inlineStr"/>
      <c r="I202" s="2" t="inlineStr"/>
      <c r="K202" s="2" t="inlineStr"/>
      <c r="L202">
        <f>IF(M202=G202,F202,IF(M202=I202,H202,J202))</f>
        <v/>
      </c>
      <c r="M202" s="2">
        <f>MIN(G202,I202,K202)</f>
        <v/>
      </c>
      <c r="N202" s="2">
        <f>D202*M202</f>
        <v/>
      </c>
      <c r="O202" s="2">
        <f>IF(ISBLANK(E202),0,D202*E202)</f>
        <v/>
      </c>
      <c r="P202" s="3">
        <f>IF(O202=0,0,(O202-N202)/O202)</f>
        <v/>
      </c>
      <c r="Q202" t="n">
        <v>60</v>
      </c>
      <c r="R202" t="inlineStr">
        <is>
          <t>LAUNCH_INVENTORY</t>
        </is>
      </c>
      <c r="S202" t="inlineStr"/>
    </row>
    <row r="203">
      <c r="A203" t="inlineStr">
        <is>
          <t>A6539</t>
        </is>
      </c>
      <c r="B203" t="inlineStr">
        <is>
          <t>S01</t>
        </is>
      </c>
      <c r="C203" t="inlineStr">
        <is>
          <t>GRADIENT COMPRESSION STOCKING, WAIST LENGTH, 18-30 MMHG, EACH</t>
        </is>
      </c>
      <c r="D203" t="n">
        <v>3</v>
      </c>
      <c r="E203" s="2" t="n">
        <v>95.29000000000001</v>
      </c>
      <c r="G203" s="2" t="inlineStr"/>
      <c r="I203" s="2" t="inlineStr"/>
      <c r="K203" s="2" t="inlineStr"/>
      <c r="L203">
        <f>IF(M203=G203,F203,IF(M203=I203,H203,J203))</f>
        <v/>
      </c>
      <c r="M203" s="2">
        <f>MIN(G203,I203,K203)</f>
        <v/>
      </c>
      <c r="N203" s="2">
        <f>D203*M203</f>
        <v/>
      </c>
      <c r="O203" s="2">
        <f>IF(ISBLANK(E203),0,D203*E203)</f>
        <v/>
      </c>
      <c r="P203" s="3">
        <f>IF(O203=0,0,(O203-N203)/O203)</f>
        <v/>
      </c>
      <c r="Q203" t="n">
        <v>60</v>
      </c>
      <c r="R203" t="inlineStr">
        <is>
          <t>LAUNCH_INVENTORY</t>
        </is>
      </c>
      <c r="S203" t="inlineStr"/>
    </row>
    <row r="204">
      <c r="A204" t="inlineStr">
        <is>
          <t>A4333</t>
        </is>
      </c>
      <c r="B204" t="inlineStr">
        <is>
          <t>PD09</t>
        </is>
      </c>
      <c r="C204" t="inlineStr">
        <is>
          <t>URINARY CATHETER ANCHORING DEVICE, ADHESIVE SKIN ATTACHMENT, EACH</t>
        </is>
      </c>
      <c r="D204" t="n">
        <v>3</v>
      </c>
      <c r="E204" s="2" t="n">
        <v>3.1</v>
      </c>
      <c r="G204" s="2" t="inlineStr"/>
      <c r="I204" s="2" t="inlineStr"/>
      <c r="K204" s="2" t="inlineStr"/>
      <c r="L204">
        <f>IF(M204=G204,F204,IF(M204=I204,H204,J204))</f>
        <v/>
      </c>
      <c r="M204" s="2">
        <f>MIN(G204,I204,K204)</f>
        <v/>
      </c>
      <c r="N204" s="2">
        <f>D204*M204</f>
        <v/>
      </c>
      <c r="O204" s="2">
        <f>IF(ISBLANK(E204),0,D204*E204)</f>
        <v/>
      </c>
      <c r="P204" s="3">
        <f>IF(O204=0,0,(O204-N204)/O204)</f>
        <v/>
      </c>
      <c r="Q204" t="n">
        <v>60</v>
      </c>
      <c r="R204" t="inlineStr">
        <is>
          <t>LAUNCH_INVENTORY</t>
        </is>
      </c>
      <c r="S204" t="inlineStr"/>
    </row>
    <row r="205">
      <c r="A205" t="inlineStr">
        <is>
          <t>A4332</t>
        </is>
      </c>
      <c r="B205" t="inlineStr">
        <is>
          <t>PD09</t>
        </is>
      </c>
      <c r="C205" t="inlineStr">
        <is>
          <t>LUBRICANT, INDIVIDUAL STERILE PACKET, EACH</t>
        </is>
      </c>
      <c r="D205" t="n">
        <v>3</v>
      </c>
      <c r="E205" s="2" t="n">
        <v>0.15</v>
      </c>
      <c r="G205" s="2" t="inlineStr"/>
      <c r="I205" s="2" t="inlineStr"/>
      <c r="K205" s="2" t="inlineStr"/>
      <c r="L205">
        <f>IF(M205=G205,F205,IF(M205=I205,H205,J205))</f>
        <v/>
      </c>
      <c r="M205" s="2">
        <f>MIN(G205,I205,K205)</f>
        <v/>
      </c>
      <c r="N205" s="2">
        <f>D205*M205</f>
        <v/>
      </c>
      <c r="O205" s="2">
        <f>IF(ISBLANK(E205),0,D205*E205)</f>
        <v/>
      </c>
      <c r="P205" s="3">
        <f>IF(O205=0,0,(O205-N205)/O205)</f>
        <v/>
      </c>
      <c r="Q205" t="n">
        <v>60</v>
      </c>
      <c r="R205" t="inlineStr">
        <is>
          <t>LAUNCH_INVENTORY</t>
        </is>
      </c>
      <c r="S205" t="inlineStr"/>
    </row>
    <row r="206">
      <c r="A206" t="inlineStr">
        <is>
          <t>A4456</t>
        </is>
      </c>
      <c r="B206" t="inlineStr">
        <is>
          <t>PD09</t>
        </is>
      </c>
      <c r="C206" t="inlineStr">
        <is>
          <t>ADHESIVE REMOVER, WIPES, ANY TYPE, EACH</t>
        </is>
      </c>
      <c r="D206" t="n">
        <v>3</v>
      </c>
      <c r="E206" s="2" t="n">
        <v>0.34</v>
      </c>
      <c r="G206" s="2" t="inlineStr"/>
      <c r="I206" s="2" t="inlineStr"/>
      <c r="K206" s="2" t="inlineStr"/>
      <c r="L206">
        <f>IF(M206=G206,F206,IF(M206=I206,H206,J206))</f>
        <v/>
      </c>
      <c r="M206" s="2">
        <f>MIN(G206,I206,K206)</f>
        <v/>
      </c>
      <c r="N206" s="2">
        <f>D206*M206</f>
        <v/>
      </c>
      <c r="O206" s="2">
        <f>IF(ISBLANK(E206),0,D206*E206)</f>
        <v/>
      </c>
      <c r="P206" s="3">
        <f>IF(O206=0,0,(O206-N206)/O206)</f>
        <v/>
      </c>
      <c r="Q206" t="n">
        <v>60</v>
      </c>
      <c r="R206" t="inlineStr">
        <is>
          <t>LAUNCH_INVENTORY</t>
        </is>
      </c>
      <c r="S206" t="inlineStr"/>
    </row>
    <row r="207">
      <c r="A207" t="inlineStr">
        <is>
          <t>E0990</t>
        </is>
      </c>
      <c r="B207" t="inlineStr">
        <is>
          <t>M06A</t>
        </is>
      </c>
      <c r="C207" t="inlineStr">
        <is>
          <t>WHEELCHAIR ACCESSORY, ELEVATING LEG REST, COMPLETE ASSEMBLY, EACH</t>
        </is>
      </c>
      <c r="D207" t="n">
        <v>3</v>
      </c>
      <c r="E207" s="2" t="n">
        <v>70.34</v>
      </c>
      <c r="G207" s="2" t="inlineStr"/>
      <c r="I207" s="2" t="inlineStr"/>
      <c r="K207" s="2" t="inlineStr"/>
      <c r="L207">
        <f>IF(M207=G207,F207,IF(M207=I207,H207,J207))</f>
        <v/>
      </c>
      <c r="M207" s="2">
        <f>MIN(G207,I207,K207)</f>
        <v/>
      </c>
      <c r="N207" s="2">
        <f>D207*M207</f>
        <v/>
      </c>
      <c r="O207" s="2">
        <f>IF(ISBLANK(E207),0,D207*E207)</f>
        <v/>
      </c>
      <c r="P207" s="3">
        <f>IF(O207=0,0,(O207-N207)/O207)</f>
        <v/>
      </c>
      <c r="Q207" t="n">
        <v>60</v>
      </c>
      <c r="R207" t="inlineStr">
        <is>
          <t>LAUNCH_INVENTORY</t>
        </is>
      </c>
      <c r="S207" t="inlineStr"/>
    </row>
    <row r="208">
      <c r="A208" t="inlineStr">
        <is>
          <t>E2207</t>
        </is>
      </c>
      <c r="B208" t="inlineStr">
        <is>
          <t>M06A</t>
        </is>
      </c>
      <c r="C208" t="inlineStr">
        <is>
          <t>WHEELCHAIR ACCESSORY, CRUTCH AND CANE HOLDER, EACH</t>
        </is>
      </c>
      <c r="D208" t="n">
        <v>3</v>
      </c>
      <c r="E208" s="2" t="n">
        <v>48.71</v>
      </c>
      <c r="G208" s="2" t="inlineStr"/>
      <c r="I208" s="2" t="inlineStr"/>
      <c r="K208" s="2" t="inlineStr"/>
      <c r="L208">
        <f>IF(M208=G208,F208,IF(M208=I208,H208,J208))</f>
        <v/>
      </c>
      <c r="M208" s="2">
        <f>MIN(G208,I208,K208)</f>
        <v/>
      </c>
      <c r="N208" s="2">
        <f>D208*M208</f>
        <v/>
      </c>
      <c r="O208" s="2">
        <f>IF(ISBLANK(E208),0,D208*E208)</f>
        <v/>
      </c>
      <c r="P208" s="3">
        <f>IF(O208=0,0,(O208-N208)/O208)</f>
        <v/>
      </c>
      <c r="Q208" t="n">
        <v>60</v>
      </c>
      <c r="R208" t="inlineStr">
        <is>
          <t>LAUNCH_INVENTORY</t>
        </is>
      </c>
      <c r="S208" t="inlineStr"/>
    </row>
    <row r="209">
      <c r="A209" t="inlineStr">
        <is>
          <t>E2208</t>
        </is>
      </c>
      <c r="B209" t="inlineStr">
        <is>
          <t>M06A</t>
        </is>
      </c>
      <c r="C209" t="inlineStr">
        <is>
          <t>WHEELCHAIR ACCESSORY, CYLINDER TANK CARRIER, EACH</t>
        </is>
      </c>
      <c r="D209" t="n">
        <v>3</v>
      </c>
      <c r="E209" s="2" t="n">
        <v>72.44</v>
      </c>
      <c r="G209" s="2" t="inlineStr"/>
      <c r="I209" s="2" t="inlineStr"/>
      <c r="K209" s="2" t="inlineStr"/>
      <c r="L209">
        <f>IF(M209=G209,F209,IF(M209=I209,H209,J209))</f>
        <v/>
      </c>
      <c r="M209" s="2">
        <f>MIN(G209,I209,K209)</f>
        <v/>
      </c>
      <c r="N209" s="2">
        <f>D209*M209</f>
        <v/>
      </c>
      <c r="O209" s="2">
        <f>IF(ISBLANK(E209),0,D209*E209)</f>
        <v/>
      </c>
      <c r="P209" s="3">
        <f>IF(O209=0,0,(O209-N209)/O209)</f>
        <v/>
      </c>
      <c r="Q209" t="n">
        <v>60</v>
      </c>
      <c r="R209" t="inlineStr">
        <is>
          <t>LAUNCH_INVENTORY</t>
        </is>
      </c>
      <c r="S209" t="inlineStr"/>
    </row>
    <row r="210">
      <c r="A210" t="inlineStr">
        <is>
          <t>E2209</t>
        </is>
      </c>
      <c r="B210" t="inlineStr">
        <is>
          <t>M06A</t>
        </is>
      </c>
      <c r="C210" t="inlineStr">
        <is>
          <t>ACCESSORY, ARM TROUGH, WITH OR WITHOUT HAND SUPPORT, EACH</t>
        </is>
      </c>
      <c r="D210" t="n">
        <v>3</v>
      </c>
      <c r="E210" s="2" t="n">
        <v>85.5</v>
      </c>
      <c r="G210" s="2" t="inlineStr"/>
      <c r="I210" s="2" t="inlineStr"/>
      <c r="K210" s="2" t="inlineStr"/>
      <c r="L210">
        <f>IF(M210=G210,F210,IF(M210=I210,H210,J210))</f>
        <v/>
      </c>
      <c r="M210" s="2">
        <f>MIN(G210,I210,K210)</f>
        <v/>
      </c>
      <c r="N210" s="2">
        <f>D210*M210</f>
        <v/>
      </c>
      <c r="O210" s="2">
        <f>IF(ISBLANK(E210),0,D210*E210)</f>
        <v/>
      </c>
      <c r="P210" s="3">
        <f>IF(O210=0,0,(O210-N210)/O210)</f>
        <v/>
      </c>
      <c r="Q210" t="n">
        <v>60</v>
      </c>
      <c r="R210" t="inlineStr">
        <is>
          <t>LAUNCH_INVENTORY</t>
        </is>
      </c>
      <c r="S210" t="inlineStr"/>
    </row>
    <row r="211">
      <c r="A211" t="inlineStr">
        <is>
          <t>E1020</t>
        </is>
      </c>
      <c r="B211" t="inlineStr">
        <is>
          <t>M06A</t>
        </is>
      </c>
      <c r="C211" t="inlineStr">
        <is>
          <t>RESIDUAL LIMB SUPPORT SYSTEM FOR WHEELCHAIR, ANY TYPE</t>
        </is>
      </c>
      <c r="D211" t="n">
        <v>3</v>
      </c>
      <c r="E211" s="2" t="n">
        <v>18.52</v>
      </c>
      <c r="G211" s="2" t="inlineStr"/>
      <c r="I211" s="2" t="inlineStr"/>
      <c r="K211" s="2" t="inlineStr"/>
      <c r="L211">
        <f>IF(M211=G211,F211,IF(M211=I211,H211,J211))</f>
        <v/>
      </c>
      <c r="M211" s="2">
        <f>MIN(G211,I211,K211)</f>
        <v/>
      </c>
      <c r="N211" s="2">
        <f>D211*M211</f>
        <v/>
      </c>
      <c r="O211" s="2">
        <f>IF(ISBLANK(E211),0,D211*E211)</f>
        <v/>
      </c>
      <c r="P211" s="3">
        <f>IF(O211=0,0,(O211-N211)/O211)</f>
        <v/>
      </c>
      <c r="Q211" t="n">
        <v>60</v>
      </c>
      <c r="R211" t="inlineStr">
        <is>
          <t>LAUNCH_INVENTORY</t>
        </is>
      </c>
      <c r="S211" t="inlineStr"/>
    </row>
    <row r="212">
      <c r="A212" t="inlineStr">
        <is>
          <t>E1028</t>
        </is>
      </c>
      <c r="B212" t="inlineStr">
        <is>
          <t>M06A</t>
        </is>
      </c>
      <c r="C212" t="inlineStr">
        <is>
          <t>WHEELCHAIR ACCESSORY, MANUAL SWINGAWAY, RETRACTABLE OR REMOVABLE MOUNTING HARDWARE, OTHER</t>
        </is>
      </c>
      <c r="D212" t="n">
        <v>3</v>
      </c>
      <c r="E212" s="2" t="n">
        <v>14.82</v>
      </c>
      <c r="G212" s="2" t="inlineStr"/>
      <c r="I212" s="2" t="inlineStr"/>
      <c r="K212" s="2" t="inlineStr"/>
      <c r="L212">
        <f>IF(M212=G212,F212,IF(M212=I212,H212,J212))</f>
        <v/>
      </c>
      <c r="M212" s="2">
        <f>MIN(G212,I212,K212)</f>
        <v/>
      </c>
      <c r="N212" s="2">
        <f>D212*M212</f>
        <v/>
      </c>
      <c r="O212" s="2">
        <f>IF(ISBLANK(E212),0,D212*E212)</f>
        <v/>
      </c>
      <c r="P212" s="3">
        <f>IF(O212=0,0,(O212-N212)/O212)</f>
        <v/>
      </c>
      <c r="Q212" t="n">
        <v>60</v>
      </c>
      <c r="R212" t="inlineStr">
        <is>
          <t>LAUNCH_INVENTORY</t>
        </is>
      </c>
      <c r="S212" t="inlineStr"/>
    </row>
    <row r="213">
      <c r="A213" t="inlineStr">
        <is>
          <t>K0072</t>
        </is>
      </c>
      <c r="B213" t="inlineStr">
        <is>
          <t>M06A</t>
        </is>
      </c>
      <c r="C213" t="inlineStr">
        <is>
          <t>FRONT CASTER ASSEMBLY, COMPLETE, WITH SEMI-PNEUMATIC TIRE, REPLACEMENT ONLY, EACH</t>
        </is>
      </c>
      <c r="D213" t="n">
        <v>3</v>
      </c>
      <c r="E213" s="2" t="n">
        <v>71.2</v>
      </c>
      <c r="G213" s="2" t="inlineStr"/>
      <c r="I213" s="2" t="inlineStr"/>
      <c r="K213" s="2" t="inlineStr"/>
      <c r="L213">
        <f>IF(M213=G213,F213,IF(M213=I213,H213,J213))</f>
        <v/>
      </c>
      <c r="M213" s="2">
        <f>MIN(G213,I213,K213)</f>
        <v/>
      </c>
      <c r="N213" s="2">
        <f>D213*M213</f>
        <v/>
      </c>
      <c r="O213" s="2">
        <f>IF(ISBLANK(E213),0,D213*E213)</f>
        <v/>
      </c>
      <c r="P213" s="3">
        <f>IF(O213=0,0,(O213-N213)/O213)</f>
        <v/>
      </c>
      <c r="Q213" t="n">
        <v>60</v>
      </c>
      <c r="R213" t="inlineStr">
        <is>
          <t>LAUNCH_INVENTORY</t>
        </is>
      </c>
      <c r="S213" t="inlineStr"/>
    </row>
    <row r="214">
      <c r="A214" t="inlineStr">
        <is>
          <t>E0570</t>
        </is>
      </c>
      <c r="B214" t="inlineStr">
        <is>
          <t>R07</t>
        </is>
      </c>
      <c r="C214" t="inlineStr">
        <is>
          <t>NEBULIZER, WITH COMPRESSOR</t>
        </is>
      </c>
      <c r="D214" t="n">
        <v>6</v>
      </c>
      <c r="E214" s="2" t="n">
        <v>5.53</v>
      </c>
      <c r="G214" s="2" t="inlineStr"/>
      <c r="I214" s="2" t="inlineStr"/>
      <c r="K214" s="2" t="inlineStr"/>
      <c r="L214">
        <f>IF(M214=G214,F214,IF(M214=I214,H214,J214))</f>
        <v/>
      </c>
      <c r="M214" s="2">
        <f>MIN(G214,I214,K214)</f>
        <v/>
      </c>
      <c r="N214" s="2">
        <f>D214*M214</f>
        <v/>
      </c>
      <c r="O214" s="2">
        <f>IF(ISBLANK(E214),0,D214*E214)</f>
        <v/>
      </c>
      <c r="P214" s="3">
        <f>IF(O214=0,0,(O214-N214)/O214)</f>
        <v/>
      </c>
      <c r="Q214" t="n">
        <v>60</v>
      </c>
      <c r="R214" t="inlineStr">
        <is>
          <t>CUSTOMER</t>
        </is>
      </c>
      <c r="S214" t="inlineStr">
        <is>
          <t>RAMBOM</t>
        </is>
      </c>
    </row>
    <row r="215">
      <c r="A215" t="inlineStr">
        <is>
          <t>K0052</t>
        </is>
      </c>
      <c r="B215" t="inlineStr">
        <is>
          <t>M06A</t>
        </is>
      </c>
      <c r="C215" t="inlineStr">
        <is>
          <t>SWINGAWAY, DETACHABLE FOOTRESTS, REPLACEMENT ONLY, EACH</t>
        </is>
      </c>
      <c r="D215" t="n">
        <v>3</v>
      </c>
      <c r="E215" s="2" t="n">
        <v>71.2</v>
      </c>
      <c r="G215" s="2" t="inlineStr"/>
      <c r="I215" s="2" t="inlineStr"/>
      <c r="K215" s="2" t="inlineStr"/>
      <c r="L215">
        <f>IF(M215=G215,F215,IF(M215=I215,H215,J215))</f>
        <v/>
      </c>
      <c r="M215" s="2">
        <f>MIN(G215,I215,K215)</f>
        <v/>
      </c>
      <c r="N215" s="2">
        <f>D215*M215</f>
        <v/>
      </c>
      <c r="O215" s="2">
        <f>IF(ISBLANK(E215),0,D215*E215)</f>
        <v/>
      </c>
      <c r="P215" s="3">
        <f>IF(O215=0,0,(O215-N215)/O215)</f>
        <v/>
      </c>
      <c r="Q215" t="n">
        <v>60</v>
      </c>
      <c r="R215" t="inlineStr">
        <is>
          <t>LAUNCH_INVENTORY</t>
        </is>
      </c>
      <c r="S215" t="inlineStr"/>
    </row>
    <row r="216">
      <c r="A216" t="inlineStr">
        <is>
          <t>A6247</t>
        </is>
      </c>
      <c r="B216" t="inlineStr">
        <is>
          <t>S01</t>
        </is>
      </c>
      <c r="C216" t="inlineStr">
        <is>
          <t>HYDROGEL DRESSING, WOUND COVER, STERILE, PAD SIZE MORE THAN 48 SQ. IN., WITH ANY SIZE ADHESIVE BORDER, EACH DRESSING</t>
        </is>
      </c>
      <c r="D216" t="n">
        <v>3</v>
      </c>
      <c r="E216" s="2" t="n">
        <v>33.23</v>
      </c>
      <c r="G216" s="2" t="inlineStr"/>
      <c r="I216" s="2" t="inlineStr"/>
      <c r="K216" s="2" t="inlineStr"/>
      <c r="L216">
        <f>IF(M216=G216,F216,IF(M216=I216,H216,J216))</f>
        <v/>
      </c>
      <c r="M216" s="2">
        <f>MIN(G216,I216,K216)</f>
        <v/>
      </c>
      <c r="N216" s="2">
        <f>D216*M216</f>
        <v/>
      </c>
      <c r="O216" s="2">
        <f>IF(ISBLANK(E216),0,D216*E216)</f>
        <v/>
      </c>
      <c r="P216" s="3">
        <f>IF(O216=0,0,(O216-N216)/O216)</f>
        <v/>
      </c>
      <c r="Q216" t="n">
        <v>60</v>
      </c>
      <c r="R216" t="inlineStr">
        <is>
          <t>LAUNCH_INVENTORY</t>
        </is>
      </c>
      <c r="S216" t="inlineStr"/>
    </row>
    <row r="217">
      <c r="A217" t="inlineStr">
        <is>
          <t>A6266</t>
        </is>
      </c>
      <c r="B217" t="inlineStr">
        <is>
          <t>S01</t>
        </is>
      </c>
      <c r="C217" t="inlineStr">
        <is>
          <t>GAUZE, IMPREGNATED, OTHER THAN WATER, NORMAL SALINE, OR ZINC PASTE, STERILE, ANY WIDTH, PER LINEAR YARD</t>
        </is>
      </c>
      <c r="D217" t="n">
        <v>3</v>
      </c>
      <c r="E217" s="2" t="n">
        <v>2.67</v>
      </c>
      <c r="G217" s="2" t="inlineStr"/>
      <c r="I217" s="2" t="inlineStr"/>
      <c r="K217" s="2" t="inlineStr"/>
      <c r="L217">
        <f>IF(M217=G217,F217,IF(M217=I217,H217,J217))</f>
        <v/>
      </c>
      <c r="M217" s="2">
        <f>MIN(G217,I217,K217)</f>
        <v/>
      </c>
      <c r="N217" s="2">
        <f>D217*M217</f>
        <v/>
      </c>
      <c r="O217" s="2">
        <f>IF(ISBLANK(E217),0,D217*E217)</f>
        <v/>
      </c>
      <c r="P217" s="3">
        <f>IF(O217=0,0,(O217-N217)/O217)</f>
        <v/>
      </c>
      <c r="Q217" t="n">
        <v>60</v>
      </c>
      <c r="R217" t="inlineStr">
        <is>
          <t>LAUNCH_INVENTORY</t>
        </is>
      </c>
      <c r="S217" t="inlineStr"/>
    </row>
    <row r="218">
      <c r="A218" t="inlineStr">
        <is>
          <t>A6536</t>
        </is>
      </c>
      <c r="B218" t="inlineStr">
        <is>
          <t>S01</t>
        </is>
      </c>
      <c r="C218" t="inlineStr">
        <is>
          <t>GRADIENT COMPRESSION STOCKING, FULL LENGTH/CHAP STYLE, 18-30 MMHG, EACH</t>
        </is>
      </c>
      <c r="D218" t="n">
        <v>3</v>
      </c>
      <c r="E218" s="2" t="n">
        <v>72.01000000000001</v>
      </c>
      <c r="G218" s="2" t="inlineStr"/>
      <c r="I218" s="2" t="inlineStr"/>
      <c r="K218" s="2" t="inlineStr"/>
      <c r="L218">
        <f>IF(M218=G218,F218,IF(M218=I218,H218,J218))</f>
        <v/>
      </c>
      <c r="M218" s="2">
        <f>MIN(G218,I218,K218)</f>
        <v/>
      </c>
      <c r="N218" s="2">
        <f>D218*M218</f>
        <v/>
      </c>
      <c r="O218" s="2">
        <f>IF(ISBLANK(E218),0,D218*E218)</f>
        <v/>
      </c>
      <c r="P218" s="3">
        <f>IF(O218=0,0,(O218-N218)/O218)</f>
        <v/>
      </c>
      <c r="Q218" t="n">
        <v>60</v>
      </c>
      <c r="R218" t="inlineStr">
        <is>
          <t>LAUNCH_INVENTORY</t>
        </is>
      </c>
      <c r="S218" t="inlineStr"/>
    </row>
    <row r="219">
      <c r="A219" t="inlineStr">
        <is>
          <t>A4554</t>
        </is>
      </c>
      <c r="B219" t="inlineStr">
        <is>
          <t>PD09</t>
        </is>
      </c>
      <c r="C219" t="inlineStr">
        <is>
          <t>DISPOSABLE UNDERPADS, ALL SIZES</t>
        </is>
      </c>
      <c r="D219" t="n">
        <v>2000</v>
      </c>
      <c r="E219" s="2" t="n"/>
      <c r="G219" s="2" t="inlineStr"/>
      <c r="I219" s="2" t="inlineStr"/>
      <c r="K219" s="2" t="inlineStr"/>
      <c r="L219">
        <f>IF(M219=G219,F219,IF(M219=I219,H219,J219))</f>
        <v/>
      </c>
      <c r="M219" s="2">
        <f>MIN(G219,I219,K219)</f>
        <v/>
      </c>
      <c r="N219" s="2">
        <f>D219*M219</f>
        <v/>
      </c>
      <c r="O219" s="2">
        <f>IF(ISBLANK(E219),0,D219*E219)</f>
        <v/>
      </c>
      <c r="P219" s="3">
        <f>IF(O219=0,0,(O219-N219)/O219)</f>
        <v/>
      </c>
      <c r="Q219" t="n">
        <v>60</v>
      </c>
      <c r="R219" t="inlineStr">
        <is>
          <t>CUSTOMER</t>
        </is>
      </c>
      <c r="S219" t="inlineStr">
        <is>
          <t>WALTERS</t>
        </is>
      </c>
    </row>
    <row r="220">
      <c r="A220" t="inlineStr">
        <is>
          <t>A4520</t>
        </is>
      </c>
      <c r="B220" t="inlineStr">
        <is>
          <t>PD09</t>
        </is>
      </c>
      <c r="C220" t="inlineStr">
        <is>
          <t>INCONTINENCE GARMENT, ANY TYPE, (E.G., BRIEF, DIAPER), EACH</t>
        </is>
      </c>
      <c r="D220" t="n">
        <v>3000</v>
      </c>
      <c r="E220" s="2" t="n"/>
      <c r="G220" s="2" t="inlineStr"/>
      <c r="I220" s="2" t="inlineStr"/>
      <c r="K220" s="2" t="inlineStr"/>
      <c r="L220">
        <f>IF(M220=G220,F220,IF(M220=I220,H220,J220))</f>
        <v/>
      </c>
      <c r="M220" s="2">
        <f>MIN(G220,I220,K220)</f>
        <v/>
      </c>
      <c r="N220" s="2">
        <f>D220*M220</f>
        <v/>
      </c>
      <c r="O220" s="2">
        <f>IF(ISBLANK(E220),0,D220*E220)</f>
        <v/>
      </c>
      <c r="P220" s="3">
        <f>IF(O220=0,0,(O220-N220)/O220)</f>
        <v/>
      </c>
      <c r="Q220" t="n">
        <v>60</v>
      </c>
      <c r="R220" t="inlineStr">
        <is>
          <t>CUSTOMER</t>
        </is>
      </c>
      <c r="S220" t="inlineStr">
        <is>
          <t>WALTERS</t>
        </is>
      </c>
    </row>
    <row r="221">
      <c r="A221" t="inlineStr">
        <is>
          <t>E1029</t>
        </is>
      </c>
      <c r="B221" t="inlineStr">
        <is>
          <t>M06A</t>
        </is>
      </c>
      <c r="C221" t="inlineStr">
        <is>
          <t>WHEELCHAIR ACCESSORY, VENTILATOR TRAY, FIXED</t>
        </is>
      </c>
      <c r="D221" t="n">
        <v>3</v>
      </c>
      <c r="E221" s="2" t="n">
        <v>44.49</v>
      </c>
      <c r="G221" s="2" t="inlineStr"/>
      <c r="I221" s="2" t="inlineStr"/>
      <c r="K221" s="2" t="inlineStr"/>
      <c r="L221">
        <f>IF(M221=G221,F221,IF(M221=I221,H221,J221))</f>
        <v/>
      </c>
      <c r="M221" s="2">
        <f>MIN(G221,I221,K221)</f>
        <v/>
      </c>
      <c r="N221" s="2">
        <f>D221*M221</f>
        <v/>
      </c>
      <c r="O221" s="2">
        <f>IF(ISBLANK(E221),0,D221*E221)</f>
        <v/>
      </c>
      <c r="P221" s="3">
        <f>IF(O221=0,0,(O221-N221)/O221)</f>
        <v/>
      </c>
      <c r="Q221" t="n">
        <v>60</v>
      </c>
      <c r="R221" t="inlineStr">
        <is>
          <t>LAUNCH_INVENTORY</t>
        </is>
      </c>
      <c r="S221" t="inlineStr"/>
    </row>
    <row r="222">
      <c r="A222" t="inlineStr">
        <is>
          <t>K0077</t>
        </is>
      </c>
      <c r="B222" t="inlineStr">
        <is>
          <t>M06A</t>
        </is>
      </c>
      <c r="C222" t="inlineStr">
        <is>
          <t>FRONT CASTER ASSEMBLY, COMPLETE, WITH SOLID TIRE, REPLACEMENT ONLY, EACH</t>
        </is>
      </c>
      <c r="D222" t="n">
        <v>3</v>
      </c>
      <c r="E222" s="2" t="n">
        <v>50.81</v>
      </c>
      <c r="G222" s="2" t="inlineStr"/>
      <c r="I222" s="2" t="inlineStr"/>
      <c r="K222" s="2" t="inlineStr"/>
      <c r="L222">
        <f>IF(M222=G222,F222,IF(M222=I222,H222,J222))</f>
        <v/>
      </c>
      <c r="M222" s="2">
        <f>MIN(G222,I222,K222)</f>
        <v/>
      </c>
      <c r="N222" s="2">
        <f>D222*M222</f>
        <v/>
      </c>
      <c r="O222" s="2">
        <f>IF(ISBLANK(E222),0,D222*E222)</f>
        <v/>
      </c>
      <c r="P222" s="3">
        <f>IF(O222=0,0,(O222-N222)/O222)</f>
        <v/>
      </c>
      <c r="Q222" t="n">
        <v>60</v>
      </c>
      <c r="R222" t="inlineStr">
        <is>
          <t>LAUNCH_INVENTORY</t>
        </is>
      </c>
      <c r="S222" t="inlineStr"/>
    </row>
    <row r="223">
      <c r="A223" t="inlineStr">
        <is>
          <t>K0105</t>
        </is>
      </c>
      <c r="B223" t="inlineStr">
        <is>
          <t>M06A</t>
        </is>
      </c>
      <c r="C223" t="inlineStr">
        <is>
          <t>IV HANGER, EACH</t>
        </is>
      </c>
      <c r="D223" t="n">
        <v>3</v>
      </c>
      <c r="E223" s="2" t="n">
        <v>103.67</v>
      </c>
      <c r="G223" s="2" t="inlineStr"/>
      <c r="I223" s="2" t="inlineStr"/>
      <c r="K223" s="2" t="inlineStr"/>
      <c r="L223">
        <f>IF(M223=G223,F223,IF(M223=I223,H223,J223))</f>
        <v/>
      </c>
      <c r="M223" s="2">
        <f>MIN(G223,I223,K223)</f>
        <v/>
      </c>
      <c r="N223" s="2">
        <f>D223*M223</f>
        <v/>
      </c>
      <c r="O223" s="2">
        <f>IF(ISBLANK(E223),0,D223*E223)</f>
        <v/>
      </c>
      <c r="P223" s="3">
        <f>IF(O223=0,0,(O223-N223)/O223)</f>
        <v/>
      </c>
      <c r="Q223" t="n">
        <v>60</v>
      </c>
      <c r="R223" t="inlineStr">
        <is>
          <t>LAUNCH_INVENTORY</t>
        </is>
      </c>
      <c r="S223" t="inlineStr"/>
    </row>
    <row r="224">
      <c r="A224" t="inlineStr">
        <is>
          <t>K0047</t>
        </is>
      </c>
      <c r="B224" t="inlineStr">
        <is>
          <t>M06A</t>
        </is>
      </c>
      <c r="C224" t="inlineStr">
        <is>
          <t>ELEVATING LEGREST, UPPER HANGER BRACKET, REPLACEMENT ONLY, EACH</t>
        </is>
      </c>
      <c r="D224" t="n">
        <v>3</v>
      </c>
      <c r="E224" s="2" t="n">
        <v>83.09</v>
      </c>
      <c r="G224" s="2" t="inlineStr"/>
      <c r="I224" s="2" t="inlineStr"/>
      <c r="K224" s="2" t="inlineStr"/>
      <c r="L224">
        <f>IF(M224=G224,F224,IF(M224=I224,H224,J224))</f>
        <v/>
      </c>
      <c r="M224" s="2">
        <f>MIN(G224,I224,K224)</f>
        <v/>
      </c>
      <c r="N224" s="2">
        <f>D224*M224</f>
        <v/>
      </c>
      <c r="O224" s="2">
        <f>IF(ISBLANK(E224),0,D224*E224)</f>
        <v/>
      </c>
      <c r="P224" s="3">
        <f>IF(O224=0,0,(O224-N224)/O224)</f>
        <v/>
      </c>
      <c r="Q224" t="n">
        <v>60</v>
      </c>
      <c r="R224" t="inlineStr">
        <is>
          <t>LAUNCH_INVENTORY</t>
        </is>
      </c>
      <c r="S224" t="inlineStr"/>
    </row>
    <row r="225">
      <c r="A225" t="inlineStr">
        <is>
          <t>K0046</t>
        </is>
      </c>
      <c r="B225" t="inlineStr">
        <is>
          <t>M06A</t>
        </is>
      </c>
      <c r="C225" t="inlineStr">
        <is>
          <t>ELEVATING LEGREST, LOWER EXTENSION TUBE, REPLACEMENT ONLY, EACH</t>
        </is>
      </c>
      <c r="D225" t="n">
        <v>3</v>
      </c>
      <c r="E225" s="2" t="n">
        <v>23.5</v>
      </c>
      <c r="G225" s="2" t="inlineStr"/>
      <c r="I225" s="2" t="inlineStr"/>
      <c r="K225" s="2" t="inlineStr"/>
      <c r="L225">
        <f>IF(M225=G225,F225,IF(M225=I225,H225,J225))</f>
        <v/>
      </c>
      <c r="M225" s="2">
        <f>MIN(G225,I225,K225)</f>
        <v/>
      </c>
      <c r="N225" s="2">
        <f>D225*M225</f>
        <v/>
      </c>
      <c r="O225" s="2">
        <f>IF(ISBLANK(E225),0,D225*E225)</f>
        <v/>
      </c>
      <c r="P225" s="3">
        <f>IF(O225=0,0,(O225-N225)/O225)</f>
        <v/>
      </c>
      <c r="Q225" t="n">
        <v>60</v>
      </c>
      <c r="R225" t="inlineStr">
        <is>
          <t>LAUNCH_INVENTORY</t>
        </is>
      </c>
      <c r="S225" t="inlineStr"/>
    </row>
    <row r="226">
      <c r="A226" t="inlineStr">
        <is>
          <t>E2210</t>
        </is>
      </c>
      <c r="B226" t="inlineStr">
        <is>
          <t>M06A</t>
        </is>
      </c>
      <c r="C226" t="inlineStr">
        <is>
          <t>WHEELCHAIR ACCESSORY, BEARINGS, ANY TYPE, REPLACEMENT ONLY, EACH</t>
        </is>
      </c>
      <c r="D226" t="n">
        <v>3</v>
      </c>
      <c r="E226" s="2" t="n">
        <v>5.12</v>
      </c>
      <c r="G226" s="2" t="inlineStr"/>
      <c r="I226" s="2" t="inlineStr"/>
      <c r="K226" s="2" t="inlineStr"/>
      <c r="L226">
        <f>IF(M226=G226,F226,IF(M226=I226,H226,J226))</f>
        <v/>
      </c>
      <c r="M226" s="2">
        <f>MIN(G226,I226,K226)</f>
        <v/>
      </c>
      <c r="N226" s="2">
        <f>D226*M226</f>
        <v/>
      </c>
      <c r="O226" s="2">
        <f>IF(ISBLANK(E226),0,D226*E226)</f>
        <v/>
      </c>
      <c r="P226" s="3">
        <f>IF(O226=0,0,(O226-N226)/O226)</f>
        <v/>
      </c>
      <c r="Q226" t="n">
        <v>60</v>
      </c>
      <c r="R226" t="inlineStr">
        <is>
          <t>LAUNCH_INVENTORY</t>
        </is>
      </c>
      <c r="S226" t="inlineStr"/>
    </row>
    <row r="227">
      <c r="A227" t="inlineStr">
        <is>
          <t>E2217</t>
        </is>
      </c>
      <c r="B227" t="inlineStr">
        <is>
          <t>M06A</t>
        </is>
      </c>
      <c r="C227" t="inlineStr">
        <is>
          <t>MANUAL WHEELCHAIR ACCESSORY, FOAM FILLED CASTER TIRE, ANY SIZE, EACH</t>
        </is>
      </c>
      <c r="D227" t="n">
        <v>3</v>
      </c>
      <c r="E227" s="2" t="n">
        <v>45.13</v>
      </c>
      <c r="G227" s="2" t="inlineStr"/>
      <c r="I227" s="2" t="inlineStr"/>
      <c r="K227" s="2" t="inlineStr"/>
      <c r="L227">
        <f>IF(M227=G227,F227,IF(M227=I227,H227,J227))</f>
        <v/>
      </c>
      <c r="M227" s="2">
        <f>MIN(G227,I227,K227)</f>
        <v/>
      </c>
      <c r="N227" s="2">
        <f>D227*M227</f>
        <v/>
      </c>
      <c r="O227" s="2">
        <f>IF(ISBLANK(E227),0,D227*E227)</f>
        <v/>
      </c>
      <c r="P227" s="3">
        <f>IF(O227=0,0,(O227-N227)/O227)</f>
        <v/>
      </c>
      <c r="Q227" t="n">
        <v>60</v>
      </c>
      <c r="R227" t="inlineStr">
        <is>
          <t>LAUNCH_INVENTORY</t>
        </is>
      </c>
      <c r="S227" t="inlineStr"/>
    </row>
    <row r="228">
      <c r="A228" t="inlineStr">
        <is>
          <t>E2218</t>
        </is>
      </c>
      <c r="B228" t="inlineStr">
        <is>
          <t>M06A</t>
        </is>
      </c>
      <c r="C228" t="inlineStr">
        <is>
          <t>MANUAL WHEELCHAIR ACCESSORY, FOAM PROPULSION TIRE, ANY SIZE, EACH</t>
        </is>
      </c>
      <c r="D228" t="n">
        <v>3</v>
      </c>
      <c r="E228" s="2" t="n">
        <v>51</v>
      </c>
      <c r="G228" s="2" t="inlineStr"/>
      <c r="I228" s="2" t="inlineStr"/>
      <c r="K228" s="2" t="inlineStr"/>
      <c r="L228">
        <f>IF(M228=G228,F228,IF(M228=I228,H228,J228))</f>
        <v/>
      </c>
      <c r="M228" s="2">
        <f>MIN(G228,I228,K228)</f>
        <v/>
      </c>
      <c r="N228" s="2">
        <f>D228*M228</f>
        <v/>
      </c>
      <c r="O228" s="2">
        <f>IF(ISBLANK(E228),0,D228*E228)</f>
        <v/>
      </c>
      <c r="P228" s="3">
        <f>IF(O228=0,0,(O228-N228)/O228)</f>
        <v/>
      </c>
      <c r="Q228" t="n">
        <v>60</v>
      </c>
      <c r="R228" t="inlineStr">
        <is>
          <t>LAUNCH_INVENTORY</t>
        </is>
      </c>
      <c r="S228" t="inlineStr"/>
    </row>
    <row r="229">
      <c r="A229" t="inlineStr">
        <is>
          <t>E1030</t>
        </is>
      </c>
      <c r="B229" t="inlineStr">
        <is>
          <t>M06A</t>
        </is>
      </c>
      <c r="C229" t="inlineStr">
        <is>
          <t>WHEELCHAIR ACCESSORY, VENTILATOR TRAY, GIMBALED</t>
        </is>
      </c>
      <c r="D229" t="n">
        <v>3</v>
      </c>
      <c r="E229" s="2" t="n">
        <v>140.33</v>
      </c>
      <c r="G229" s="2" t="inlineStr"/>
      <c r="I229" s="2" t="inlineStr"/>
      <c r="K229" s="2" t="inlineStr"/>
      <c r="L229">
        <f>IF(M229=G229,F229,IF(M229=I229,H229,J229))</f>
        <v/>
      </c>
      <c r="M229" s="2">
        <f>MIN(G229,I229,K229)</f>
        <v/>
      </c>
      <c r="N229" s="2">
        <f>D229*M229</f>
        <v/>
      </c>
      <c r="O229" s="2">
        <f>IF(ISBLANK(E229),0,D229*E229)</f>
        <v/>
      </c>
      <c r="P229" s="3">
        <f>IF(O229=0,0,(O229-N229)/O229)</f>
        <v/>
      </c>
      <c r="Q229" t="n">
        <v>60</v>
      </c>
      <c r="R229" t="inlineStr">
        <is>
          <t>LAUNCH_INVENTORY</t>
        </is>
      </c>
      <c r="S229" t="inlineStr"/>
    </row>
    <row r="230">
      <c r="A230" t="inlineStr">
        <is>
          <t>A6203</t>
        </is>
      </c>
      <c r="B230" t="inlineStr">
        <is>
          <t>S01</t>
        </is>
      </c>
      <c r="C230" t="inlineStr">
        <is>
          <t>COMPOSITE DRESSING, STERILE, PAD SIZE 16 SQ. IN. OR LESS, WITH ANY SIZE ADHESIVE BORDER, EACH DRESSING</t>
        </is>
      </c>
      <c r="D230" t="n">
        <v>3</v>
      </c>
      <c r="E230" s="2" t="n">
        <v>4.71</v>
      </c>
      <c r="G230" s="2" t="inlineStr"/>
      <c r="I230" s="2" t="inlineStr"/>
      <c r="K230" s="2" t="inlineStr"/>
      <c r="L230">
        <f>IF(M230=G230,F230,IF(M230=I230,H230,J230))</f>
        <v/>
      </c>
      <c r="M230" s="2">
        <f>MIN(G230,I230,K230)</f>
        <v/>
      </c>
      <c r="N230" s="2">
        <f>D230*M230</f>
        <v/>
      </c>
      <c r="O230" s="2">
        <f>IF(ISBLANK(E230),0,D230*E230)</f>
        <v/>
      </c>
      <c r="P230" s="3">
        <f>IF(O230=0,0,(O230-N230)/O230)</f>
        <v/>
      </c>
      <c r="Q230" t="n">
        <v>60</v>
      </c>
      <c r="R230" t="inlineStr">
        <is>
          <t>LAUNCH_INVENTORY</t>
        </is>
      </c>
      <c r="S230" t="inlineStr"/>
    </row>
    <row r="231">
      <c r="A231" t="inlineStr">
        <is>
          <t>A6447</t>
        </is>
      </c>
      <c r="B231" t="inlineStr">
        <is>
          <t>S01</t>
        </is>
      </c>
      <c r="C231" t="inlineStr">
        <is>
          <t>CONFORMING BANDAGE, NON-ELASTIC, KNITTED/WOVEN, STERILE, WIDTH GREATER THAN OR EQUAL TO FIVE INCHES, PER YARD</t>
        </is>
      </c>
      <c r="D231" t="n">
        <v>3</v>
      </c>
      <c r="E231" s="2" t="n">
        <v>0.95</v>
      </c>
      <c r="G231" s="2" t="inlineStr"/>
      <c r="I231" s="2" t="inlineStr"/>
      <c r="K231" s="2" t="inlineStr"/>
      <c r="L231">
        <f>IF(M231=G231,F231,IF(M231=I231,H231,J231))</f>
        <v/>
      </c>
      <c r="M231" s="2">
        <f>MIN(G231,I231,K231)</f>
        <v/>
      </c>
      <c r="N231" s="2">
        <f>D231*M231</f>
        <v/>
      </c>
      <c r="O231" s="2">
        <f>IF(ISBLANK(E231),0,D231*E231)</f>
        <v/>
      </c>
      <c r="P231" s="3">
        <f>IF(O231=0,0,(O231-N231)/O231)</f>
        <v/>
      </c>
      <c r="Q231" t="n">
        <v>60</v>
      </c>
      <c r="R231" t="inlineStr">
        <is>
          <t>LAUNCH_INVENTORY</t>
        </is>
      </c>
      <c r="S231" t="inlineStr"/>
    </row>
    <row r="232">
      <c r="A232" t="inlineStr">
        <is>
          <t>A4463</t>
        </is>
      </c>
      <c r="B232" t="inlineStr">
        <is>
          <t>S01</t>
        </is>
      </c>
      <c r="C232" t="inlineStr">
        <is>
          <t>SURGICAL DRESSING HOLDER, REUSABLE, EACH</t>
        </is>
      </c>
      <c r="D232" t="n">
        <v>3</v>
      </c>
      <c r="E232" s="2" t="n">
        <v>18.6</v>
      </c>
      <c r="G232" s="2" t="inlineStr"/>
      <c r="I232" s="2" t="inlineStr"/>
      <c r="K232" s="2" t="inlineStr"/>
      <c r="L232">
        <f>IF(M232=G232,F232,IF(M232=I232,H232,J232))</f>
        <v/>
      </c>
      <c r="M232" s="2">
        <f>MIN(G232,I232,K232)</f>
        <v/>
      </c>
      <c r="N232" s="2">
        <f>D232*M232</f>
        <v/>
      </c>
      <c r="O232" s="2">
        <f>IF(ISBLANK(E232),0,D232*E232)</f>
        <v/>
      </c>
      <c r="P232" s="3">
        <f>IF(O232=0,0,(O232-N232)/O232)</f>
        <v/>
      </c>
      <c r="Q232" t="n">
        <v>60</v>
      </c>
      <c r="R232" t="inlineStr">
        <is>
          <t>LAUNCH_INVENTORY</t>
        </is>
      </c>
      <c r="S232" t="inlineStr"/>
    </row>
    <row r="233">
      <c r="A233" t="inlineStr">
        <is>
          <t>A4461</t>
        </is>
      </c>
      <c r="B233" t="inlineStr">
        <is>
          <t>S01</t>
        </is>
      </c>
      <c r="C233" t="inlineStr">
        <is>
          <t>SURGICAL DRESSING HOLDER, NON-REUSABLE, EACH</t>
        </is>
      </c>
      <c r="D233" t="n">
        <v>3</v>
      </c>
      <c r="E233" s="2" t="n">
        <v>4.61</v>
      </c>
      <c r="G233" s="2" t="inlineStr"/>
      <c r="I233" s="2" t="inlineStr"/>
      <c r="K233" s="2" t="inlineStr"/>
      <c r="L233">
        <f>IF(M233=G233,F233,IF(M233=I233,H233,J233))</f>
        <v/>
      </c>
      <c r="M233" s="2">
        <f>MIN(G233,I233,K233)</f>
        <v/>
      </c>
      <c r="N233" s="2">
        <f>D233*M233</f>
        <v/>
      </c>
      <c r="O233" s="2">
        <f>IF(ISBLANK(E233),0,D233*E233)</f>
        <v/>
      </c>
      <c r="P233" s="3">
        <f>IF(O233=0,0,(O233-N233)/O233)</f>
        <v/>
      </c>
      <c r="Q233" t="n">
        <v>60</v>
      </c>
      <c r="R233" t="inlineStr">
        <is>
          <t>LAUNCH_INVENTORY</t>
        </is>
      </c>
      <c r="S233" t="inlineStr"/>
    </row>
    <row r="234">
      <c r="A234" t="inlineStr">
        <is>
          <t>A6402</t>
        </is>
      </c>
      <c r="B234" t="inlineStr">
        <is>
          <t>S01</t>
        </is>
      </c>
      <c r="C234" t="inlineStr">
        <is>
          <t>GAUZE, NON-IMPREGNATED, STERILE, PAD SIZE 16 SQ. IN. OR LESS, WITHOUT ADHESIVE BORDER, EACH DRESSING</t>
        </is>
      </c>
      <c r="D234" t="n">
        <v>3</v>
      </c>
      <c r="E234" s="2" t="n">
        <v>0.15</v>
      </c>
      <c r="G234" s="2" t="inlineStr"/>
      <c r="I234" s="2" t="inlineStr"/>
      <c r="K234" s="2" t="inlineStr"/>
      <c r="L234">
        <f>IF(M234=G234,F234,IF(M234=I234,H234,J234))</f>
        <v/>
      </c>
      <c r="M234" s="2">
        <f>MIN(G234,I234,K234)</f>
        <v/>
      </c>
      <c r="N234" s="2">
        <f>D234*M234</f>
        <v/>
      </c>
      <c r="O234" s="2">
        <f>IF(ISBLANK(E234),0,D234*E234)</f>
        <v/>
      </c>
      <c r="P234" s="3">
        <f>IF(O234=0,0,(O234-N234)/O234)</f>
        <v/>
      </c>
      <c r="Q234" t="n">
        <v>60</v>
      </c>
      <c r="R234" t="inlineStr">
        <is>
          <t>LAUNCH_INVENTORY</t>
        </is>
      </c>
      <c r="S234" t="inlineStr"/>
    </row>
    <row r="235">
      <c r="A235" t="inlineStr">
        <is>
          <t>A6448</t>
        </is>
      </c>
      <c r="B235" t="inlineStr">
        <is>
          <t>S01</t>
        </is>
      </c>
      <c r="C235" t="inlineStr">
        <is>
          <t>LIGHT COMPRESSION BANDAGE, ELASTIC, KNITTED/WOVEN, WIDTH LESS THAN THREE INCHES, PER YARD</t>
        </is>
      </c>
      <c r="D235" t="n">
        <v>3</v>
      </c>
      <c r="E235" s="2" t="n">
        <v>1.61</v>
      </c>
      <c r="G235" s="2" t="inlineStr"/>
      <c r="I235" s="2" t="inlineStr"/>
      <c r="K235" s="2" t="inlineStr"/>
      <c r="L235">
        <f>IF(M235=G235,F235,IF(M235=I235,H235,J235))</f>
        <v/>
      </c>
      <c r="M235" s="2">
        <f>MIN(G235,I235,K235)</f>
        <v/>
      </c>
      <c r="N235" s="2">
        <f>D235*M235</f>
        <v/>
      </c>
      <c r="O235" s="2">
        <f>IF(ISBLANK(E235),0,D235*E235)</f>
        <v/>
      </c>
      <c r="P235" s="3">
        <f>IF(O235=0,0,(O235-N235)/O235)</f>
        <v/>
      </c>
      <c r="Q235" t="n">
        <v>60</v>
      </c>
      <c r="R235" t="inlineStr">
        <is>
          <t>LAUNCH_INVENTORY</t>
        </is>
      </c>
      <c r="S235" t="inlineStr"/>
    </row>
    <row r="236">
      <c r="A236" t="inlineStr">
        <is>
          <t>A6578</t>
        </is>
      </c>
      <c r="B236" t="inlineStr">
        <is>
          <t>S04</t>
        </is>
      </c>
      <c r="C236" t="inlineStr">
        <is>
          <t>GRADIENT  COMPRESSION ARM SLEEVE, EACH</t>
        </is>
      </c>
      <c r="D236" t="n">
        <v>3</v>
      </c>
      <c r="E236" s="2" t="n">
        <v>77.45999999999999</v>
      </c>
      <c r="G236" s="2" t="inlineStr"/>
      <c r="I236" s="2" t="inlineStr"/>
      <c r="K236" s="2" t="inlineStr"/>
      <c r="L236">
        <f>IF(M236=G236,F236,IF(M236=I236,H236,J236))</f>
        <v/>
      </c>
      <c r="M236" s="2">
        <f>MIN(G236,I236,K236)</f>
        <v/>
      </c>
      <c r="N236" s="2">
        <f>D236*M236</f>
        <v/>
      </c>
      <c r="O236" s="2">
        <f>IF(ISBLANK(E236),0,D236*E236)</f>
        <v/>
      </c>
      <c r="P236" s="3">
        <f>IF(O236=0,0,(O236-N236)/O236)</f>
        <v/>
      </c>
      <c r="Q236" t="n">
        <v>60</v>
      </c>
      <c r="R236" t="inlineStr">
        <is>
          <t>LAUNCH_INVENTORY</t>
        </is>
      </c>
      <c r="S236" t="inlineStr"/>
    </row>
    <row r="237">
      <c r="A237" t="inlineStr">
        <is>
          <t>A6577</t>
        </is>
      </c>
      <c r="B237" t="inlineStr">
        <is>
          <t>S04</t>
        </is>
      </c>
      <c r="C237" t="inlineStr">
        <is>
          <t>GRADIENT  COMPRESSION ARM SLEEVE, CUSTOM, HEAVY WEIGHT, EACH</t>
        </is>
      </c>
      <c r="D237" t="n">
        <v>3</v>
      </c>
      <c r="E237" s="2" t="n">
        <v>157.28</v>
      </c>
      <c r="G237" s="2" t="inlineStr"/>
      <c r="I237" s="2" t="inlineStr"/>
      <c r="K237" s="2" t="inlineStr"/>
      <c r="L237">
        <f>IF(M237=G237,F237,IF(M237=I237,H237,J237))</f>
        <v/>
      </c>
      <c r="M237" s="2">
        <f>MIN(G237,I237,K237)</f>
        <v/>
      </c>
      <c r="N237" s="2">
        <f>D237*M237</f>
        <v/>
      </c>
      <c r="O237" s="2">
        <f>IF(ISBLANK(E237),0,D237*E237)</f>
        <v/>
      </c>
      <c r="P237" s="3">
        <f>IF(O237=0,0,(O237-N237)/O237)</f>
        <v/>
      </c>
      <c r="Q237" t="n">
        <v>60</v>
      </c>
      <c r="R237" t="inlineStr">
        <is>
          <t>LAUNCH_INVENTORY</t>
        </is>
      </c>
      <c r="S237" t="inlineStr"/>
    </row>
    <row r="238">
      <c r="A238" t="inlineStr">
        <is>
          <t>A6533</t>
        </is>
      </c>
      <c r="B238" t="inlineStr">
        <is>
          <t>S04</t>
        </is>
      </c>
      <c r="C238" t="inlineStr">
        <is>
          <t>GRADIENT COMPRESSION STOCKING, THIGH LENGTH, 18-30 MMHG, EACH</t>
        </is>
      </c>
      <c r="D238" t="n">
        <v>3</v>
      </c>
      <c r="E238" s="2" t="n">
        <v>53.42</v>
      </c>
      <c r="G238" s="2" t="inlineStr"/>
      <c r="I238" s="2" t="inlineStr"/>
      <c r="K238" s="2" t="inlineStr"/>
      <c r="L238">
        <f>IF(M238=G238,F238,IF(M238=I238,H238,J238))</f>
        <v/>
      </c>
      <c r="M238" s="2">
        <f>MIN(G238,I238,K238)</f>
        <v/>
      </c>
      <c r="N238" s="2">
        <f>D238*M238</f>
        <v/>
      </c>
      <c r="O238" s="2">
        <f>IF(ISBLANK(E238),0,D238*E238)</f>
        <v/>
      </c>
      <c r="P238" s="3">
        <f>IF(O238=0,0,(O238-N238)/O238)</f>
        <v/>
      </c>
      <c r="Q238" t="n">
        <v>60</v>
      </c>
      <c r="R238" t="inlineStr">
        <is>
          <t>LAUNCH_INVENTORY</t>
        </is>
      </c>
      <c r="S238" t="inlineStr"/>
    </row>
    <row r="239">
      <c r="A239" t="inlineStr">
        <is>
          <t>A6010</t>
        </is>
      </c>
      <c r="B239" t="inlineStr">
        <is>
          <t>S01</t>
        </is>
      </c>
      <c r="C239" t="inlineStr">
        <is>
          <t>COLLAGEN BASED WOUND FILLER, DRY FORM, STERILE, PER GRAM OF COLLAGEN</t>
        </is>
      </c>
      <c r="D239" t="n">
        <v>3</v>
      </c>
      <c r="E239" s="2" t="n">
        <v>43.27</v>
      </c>
      <c r="G239" s="2" t="inlineStr"/>
      <c r="I239" s="2" t="inlineStr"/>
      <c r="K239" s="2" t="inlineStr"/>
      <c r="L239">
        <f>IF(M239=G239,F239,IF(M239=I239,H239,J239))</f>
        <v/>
      </c>
      <c r="M239" s="2">
        <f>MIN(G239,I239,K239)</f>
        <v/>
      </c>
      <c r="N239" s="2">
        <f>D239*M239</f>
        <v/>
      </c>
      <c r="O239" s="2">
        <f>IF(ISBLANK(E239),0,D239*E239)</f>
        <v/>
      </c>
      <c r="P239" s="3">
        <f>IF(O239=0,0,(O239-N239)/O239)</f>
        <v/>
      </c>
      <c r="Q239" t="n">
        <v>60</v>
      </c>
      <c r="R239" t="inlineStr">
        <is>
          <t>LAUNCH_INVENTORY</t>
        </is>
      </c>
      <c r="S239" t="inlineStr"/>
    </row>
    <row r="240">
      <c r="A240" t="inlineStr">
        <is>
          <t>A6011</t>
        </is>
      </c>
      <c r="B240" t="inlineStr">
        <is>
          <t>S01</t>
        </is>
      </c>
      <c r="C240" t="inlineStr">
        <is>
          <t>COLLAGEN BASED WOUND FILLER, GEL/PASTE, PER GRAM OF COLLAGEN</t>
        </is>
      </c>
      <c r="D240" t="n">
        <v>3</v>
      </c>
      <c r="E240" s="2" t="n">
        <v>3.19</v>
      </c>
      <c r="G240" s="2" t="inlineStr"/>
      <c r="I240" s="2" t="inlineStr"/>
      <c r="K240" s="2" t="inlineStr"/>
      <c r="L240">
        <f>IF(M240=G240,F240,IF(M240=I240,H240,J240))</f>
        <v/>
      </c>
      <c r="M240" s="2">
        <f>MIN(G240,I240,K240)</f>
        <v/>
      </c>
      <c r="N240" s="2">
        <f>D240*M240</f>
        <v/>
      </c>
      <c r="O240" s="2">
        <f>IF(ISBLANK(E240),0,D240*E240)</f>
        <v/>
      </c>
      <c r="P240" s="3">
        <f>IF(O240=0,0,(O240-N240)/O240)</f>
        <v/>
      </c>
      <c r="Q240" t="n">
        <v>60</v>
      </c>
      <c r="R240" t="inlineStr">
        <is>
          <t>LAUNCH_INVENTORY</t>
        </is>
      </c>
      <c r="S240" t="inlineStr"/>
    </row>
    <row r="241">
      <c r="A241" t="inlineStr">
        <is>
          <t>A6021</t>
        </is>
      </c>
      <c r="B241" t="inlineStr">
        <is>
          <t>S01</t>
        </is>
      </c>
      <c r="C241" t="inlineStr">
        <is>
          <t>COLLAGEN DRESSING, STERILE, SIZE 16 SQ. IN. OR LESS, EACH</t>
        </is>
      </c>
      <c r="D241" t="n">
        <v>3</v>
      </c>
      <c r="E241" s="2" t="n">
        <v>29.38</v>
      </c>
      <c r="G241" s="2" t="inlineStr"/>
      <c r="I241" s="2" t="inlineStr"/>
      <c r="K241" s="2" t="inlineStr"/>
      <c r="L241">
        <f>IF(M241=G241,F241,IF(M241=I241,H241,J241))</f>
        <v/>
      </c>
      <c r="M241" s="2">
        <f>MIN(G241,I241,K241)</f>
        <v/>
      </c>
      <c r="N241" s="2">
        <f>D241*M241</f>
        <v/>
      </c>
      <c r="O241" s="2">
        <f>IF(ISBLANK(E241),0,D241*E241)</f>
        <v/>
      </c>
      <c r="P241" s="3">
        <f>IF(O241=0,0,(O241-N241)/O241)</f>
        <v/>
      </c>
      <c r="Q241" t="n">
        <v>60</v>
      </c>
      <c r="R241" t="inlineStr">
        <is>
          <t>LAUNCH_INVENTORY</t>
        </is>
      </c>
      <c r="S241" t="inlineStr"/>
    </row>
    <row r="242">
      <c r="A242" t="inlineStr">
        <is>
          <t>A6449</t>
        </is>
      </c>
      <c r="B242" t="inlineStr">
        <is>
          <t>S01</t>
        </is>
      </c>
      <c r="C242" t="inlineStr">
        <is>
          <t>LIGHT COMPRESSION BANDAGE, ELASTIC, KNITTED/WOVEN, WIDTH GREATER THAN OR EQUAL TO THREE INCHES AND LESS THAN FIVE INCHES, PER YARD</t>
        </is>
      </c>
      <c r="D242" t="n">
        <v>3</v>
      </c>
      <c r="E242" s="2" t="n">
        <v>2.45</v>
      </c>
      <c r="G242" s="2" t="inlineStr"/>
      <c r="I242" s="2" t="inlineStr"/>
      <c r="K242" s="2" t="inlineStr"/>
      <c r="L242">
        <f>IF(M242=G242,F242,IF(M242=I242,H242,J242))</f>
        <v/>
      </c>
      <c r="M242" s="2">
        <f>MIN(G242,I242,K242)</f>
        <v/>
      </c>
      <c r="N242" s="2">
        <f>D242*M242</f>
        <v/>
      </c>
      <c r="O242" s="2">
        <f>IF(ISBLANK(E242),0,D242*E242)</f>
        <v/>
      </c>
      <c r="P242" s="3">
        <f>IF(O242=0,0,(O242-N242)/O242)</f>
        <v/>
      </c>
      <c r="Q242" t="n">
        <v>60</v>
      </c>
      <c r="R242" t="inlineStr">
        <is>
          <t>LAUNCH_INVENTORY</t>
        </is>
      </c>
      <c r="S242" t="inlineStr"/>
    </row>
    <row r="243">
      <c r="A243" t="inlineStr">
        <is>
          <t>A4360</t>
        </is>
      </c>
      <c r="B243" t="inlineStr">
        <is>
          <t>PD09</t>
        </is>
      </c>
      <c r="C243" t="inlineStr">
        <is>
          <t>DISPOSABLE EXTERNAL URETHRAL CLAMP OR COMPRESSION DEVICE, WITH PAD AND/OR POUCH, EACH</t>
        </is>
      </c>
      <c r="D243" t="n">
        <v>3</v>
      </c>
      <c r="E243" s="2" t="n">
        <v>0.59</v>
      </c>
      <c r="G243" s="2" t="inlineStr"/>
      <c r="I243" s="2" t="inlineStr"/>
      <c r="K243" s="2" t="inlineStr"/>
      <c r="L243">
        <f>IF(M243=G243,F243,IF(M243=I243,H243,J243))</f>
        <v/>
      </c>
      <c r="M243" s="2">
        <f>MIN(G243,I243,K243)</f>
        <v/>
      </c>
      <c r="N243" s="2">
        <f>D243*M243</f>
        <v/>
      </c>
      <c r="O243" s="2">
        <f>IF(ISBLANK(E243),0,D243*E243)</f>
        <v/>
      </c>
      <c r="P243" s="3">
        <f>IF(O243=0,0,(O243-N243)/O243)</f>
        <v/>
      </c>
      <c r="Q243" t="n">
        <v>60</v>
      </c>
      <c r="R243" t="inlineStr">
        <is>
          <t>LAUNCH_INVENTORY</t>
        </is>
      </c>
      <c r="S243" t="inlineStr"/>
    </row>
    <row r="244">
      <c r="A244" t="inlineStr">
        <is>
          <t>A6452</t>
        </is>
      </c>
      <c r="B244" t="inlineStr">
        <is>
          <t>S01</t>
        </is>
      </c>
      <c r="C244" t="inlineStr">
        <is>
          <t>HIGH COMPRESSION BANDAGE, ELASTIC, KNITTED/WOVEN, LOAD RESISTANCE GREATER THAN OR EQUAL TO 1.35 FOOT POUNDS AT 50% MAXIMUM STRETCH, WIDTH GREATER THAN OR EQUAL TO THREE INCHES AND LESS THAN FIVE INCHES, PER YARD</t>
        </is>
      </c>
      <c r="D244" t="n">
        <v>3</v>
      </c>
      <c r="E244" s="2" t="n">
        <v>8.24</v>
      </c>
      <c r="G244" s="2" t="inlineStr"/>
      <c r="I244" s="2" t="inlineStr"/>
      <c r="K244" s="2" t="inlineStr"/>
      <c r="L244">
        <f>IF(M244=G244,F244,IF(M244=I244,H244,J244))</f>
        <v/>
      </c>
      <c r="M244" s="2">
        <f>MIN(G244,I244,K244)</f>
        <v/>
      </c>
      <c r="N244" s="2">
        <f>D244*M244</f>
        <v/>
      </c>
      <c r="O244" s="2">
        <f>IF(ISBLANK(E244),0,D244*E244)</f>
        <v/>
      </c>
      <c r="P244" s="3">
        <f>IF(O244=0,0,(O244-N244)/O244)</f>
        <v/>
      </c>
      <c r="Q244" t="n">
        <v>60</v>
      </c>
      <c r="R244" t="inlineStr">
        <is>
          <t>LAUNCH_INVENTORY</t>
        </is>
      </c>
      <c r="S244" t="inlineStr"/>
    </row>
    <row r="245">
      <c r="A245" t="inlineStr">
        <is>
          <t>A6453</t>
        </is>
      </c>
      <c r="B245" t="inlineStr">
        <is>
          <t>S01</t>
        </is>
      </c>
      <c r="C245" t="inlineStr">
        <is>
          <t>SELF-ADHERENT BANDAGE, ELASTIC, NON-KNITTED/NON-WOVEN, WIDTH LESS THAN THREE INCHES, PER YARD</t>
        </is>
      </c>
      <c r="D245" t="n">
        <v>3</v>
      </c>
      <c r="E245" s="2" t="n">
        <v>0.88</v>
      </c>
      <c r="G245" s="2" t="inlineStr"/>
      <c r="I245" s="2" t="inlineStr"/>
      <c r="K245" s="2" t="inlineStr"/>
      <c r="L245">
        <f>IF(M245=G245,F245,IF(M245=I245,H245,J245))</f>
        <v/>
      </c>
      <c r="M245" s="2">
        <f>MIN(G245,I245,K245)</f>
        <v/>
      </c>
      <c r="N245" s="2">
        <f>D245*M245</f>
        <v/>
      </c>
      <c r="O245" s="2">
        <f>IF(ISBLANK(E245),0,D245*E245)</f>
        <v/>
      </c>
      <c r="P245" s="3">
        <f>IF(O245=0,0,(O245-N245)/O245)</f>
        <v/>
      </c>
      <c r="Q245" t="n">
        <v>60</v>
      </c>
      <c r="R245" t="inlineStr">
        <is>
          <t>LAUNCH_INVENTORY</t>
        </is>
      </c>
      <c r="S245" t="inlineStr"/>
    </row>
    <row r="246">
      <c r="A246" t="inlineStr">
        <is>
          <t>B4150</t>
        </is>
      </c>
      <c r="B246" t="inlineStr">
        <is>
          <t>PE03</t>
        </is>
      </c>
      <c r="C246" t="inlineStr">
        <is>
          <t>ENTERAL FORMULA, NUTRITIONALLY COMPLETE WITH INTACT NUTRIENTS, INCLUDES PROTEINS, FATS, CARBOHYDRATES, VITAMINS AND MINERALS, MAY INCLUDE FIBER, ADMINISTERED THROUGH AN ENTERAL FEEDING TUBE, 100 CALORIES = 1 UNIT</t>
        </is>
      </c>
      <c r="D246" t="n">
        <v>40</v>
      </c>
      <c r="E246" s="2" t="n">
        <v>0.46</v>
      </c>
      <c r="G246" s="2" t="inlineStr"/>
      <c r="I246" s="2" t="inlineStr"/>
      <c r="K246" s="2" t="inlineStr"/>
      <c r="L246">
        <f>IF(M246=G246,F246,IF(M246=I246,H246,J246))</f>
        <v/>
      </c>
      <c r="M246" s="2">
        <f>MIN(G246,I246,K246)</f>
        <v/>
      </c>
      <c r="N246" s="2">
        <f>D246*M246</f>
        <v/>
      </c>
      <c r="O246" s="2">
        <f>IF(ISBLANK(E246),0,D246*E246)</f>
        <v/>
      </c>
      <c r="P246" s="3">
        <f>IF(O246=0,0,(O246-N246)/O246)</f>
        <v/>
      </c>
      <c r="Q246" t="n">
        <v>60</v>
      </c>
      <c r="R246" t="inlineStr">
        <is>
          <t>CUSTOMER</t>
        </is>
      </c>
      <c r="S246" t="inlineStr">
        <is>
          <t>RAMBOM</t>
        </is>
      </c>
    </row>
    <row r="247">
      <c r="A247" t="inlineStr">
        <is>
          <t>A6534</t>
        </is>
      </c>
      <c r="B247" t="inlineStr">
        <is>
          <t>S01</t>
        </is>
      </c>
      <c r="C247" t="inlineStr">
        <is>
          <t>GRADIENT COMPRESSION STOCKING, THIGH LENGTH, 30-40 MMHG, EACH</t>
        </is>
      </c>
      <c r="D247" t="n">
        <v>3</v>
      </c>
      <c r="E247" s="2" t="n">
        <v>61</v>
      </c>
      <c r="G247" s="2" t="inlineStr"/>
      <c r="I247" s="2" t="inlineStr"/>
      <c r="K247" s="2" t="inlineStr"/>
      <c r="L247">
        <f>IF(M247=G247,F247,IF(M247=I247,H247,J247))</f>
        <v/>
      </c>
      <c r="M247" s="2">
        <f>MIN(G247,I247,K247)</f>
        <v/>
      </c>
      <c r="N247" s="2">
        <f>D247*M247</f>
        <v/>
      </c>
      <c r="O247" s="2">
        <f>IF(ISBLANK(E247),0,D247*E247)</f>
        <v/>
      </c>
      <c r="P247" s="3">
        <f>IF(O247=0,0,(O247-N247)/O247)</f>
        <v/>
      </c>
      <c r="Q247" t="n">
        <v>60</v>
      </c>
      <c r="R247" t="inlineStr">
        <is>
          <t>LAUNCH_INVENTORY</t>
        </is>
      </c>
      <c r="S247" t="inlineStr"/>
    </row>
    <row r="248">
      <c r="A248" t="inlineStr">
        <is>
          <t>A6535</t>
        </is>
      </c>
      <c r="B248" t="inlineStr">
        <is>
          <t>S01</t>
        </is>
      </c>
      <c r="C248" t="inlineStr">
        <is>
          <t>GRADIENT COMPRESSION STOCKING, THIGH LENGTH, 40 MMHG OR GREATER, EACH</t>
        </is>
      </c>
      <c r="D248" t="n">
        <v>3</v>
      </c>
      <c r="E248" s="2" t="n">
        <v>70.23</v>
      </c>
      <c r="G248" s="2" t="inlineStr"/>
      <c r="I248" s="2" t="inlineStr"/>
      <c r="K248" s="2" t="inlineStr"/>
      <c r="L248">
        <f>IF(M248=G248,F248,IF(M248=I248,H248,J248))</f>
        <v/>
      </c>
      <c r="M248" s="2">
        <f>MIN(G248,I248,K248)</f>
        <v/>
      </c>
      <c r="N248" s="2">
        <f>D248*M248</f>
        <v/>
      </c>
      <c r="O248" s="2">
        <f>IF(ISBLANK(E248),0,D248*E248)</f>
        <v/>
      </c>
      <c r="P248" s="3">
        <f>IF(O248=0,0,(O248-N248)/O248)</f>
        <v/>
      </c>
      <c r="Q248" t="n">
        <v>60</v>
      </c>
      <c r="R248" t="inlineStr">
        <is>
          <t>LAUNCH_INVENTORY</t>
        </is>
      </c>
      <c r="S248" t="inlineStr"/>
    </row>
    <row r="249">
      <c r="A249" t="inlineStr">
        <is>
          <t>A6576</t>
        </is>
      </c>
      <c r="B249" t="inlineStr">
        <is>
          <t>S04</t>
        </is>
      </c>
      <c r="C249" t="inlineStr">
        <is>
          <t>GRADIENT  COMPRESSION ARM SLEEVE, CUSTOM, MEDIUM WEIGHT, EACH</t>
        </is>
      </c>
      <c r="D249" t="n">
        <v>3</v>
      </c>
      <c r="E249" s="2" t="n">
        <v>190.03</v>
      </c>
      <c r="G249" s="2" t="inlineStr"/>
      <c r="I249" s="2" t="inlineStr"/>
      <c r="K249" s="2" t="inlineStr"/>
      <c r="L249">
        <f>IF(M249=G249,F249,IF(M249=I249,H249,J249))</f>
        <v/>
      </c>
      <c r="M249" s="2">
        <f>MIN(G249,I249,K249)</f>
        <v/>
      </c>
      <c r="N249" s="2">
        <f>D249*M249</f>
        <v/>
      </c>
      <c r="O249" s="2">
        <f>IF(ISBLANK(E249),0,D249*E249)</f>
        <v/>
      </c>
      <c r="P249" s="3">
        <f>IF(O249=0,0,(O249-N249)/O249)</f>
        <v/>
      </c>
      <c r="Q249" t="n">
        <v>60</v>
      </c>
      <c r="R249" t="inlineStr">
        <is>
          <t>LAUNCH_INVENTORY</t>
        </is>
      </c>
      <c r="S249" t="inlineStr"/>
    </row>
    <row r="250">
      <c r="A250" t="inlineStr">
        <is>
          <t>A6450</t>
        </is>
      </c>
      <c r="B250" t="inlineStr">
        <is>
          <t>S01</t>
        </is>
      </c>
      <c r="C250" t="inlineStr">
        <is>
          <t>LIGHT COMPRESSION BANDAGE, ELASTIC, KNITTED/WOVEN, WIDTH GREATER THAN OR EQUAL TO FIVE INCHES, PER YARD</t>
        </is>
      </c>
      <c r="D250" t="n">
        <v>3</v>
      </c>
      <c r="E250" s="2" t="n">
        <v>2.45</v>
      </c>
      <c r="G250" s="2" t="inlineStr"/>
      <c r="I250" s="2" t="inlineStr"/>
      <c r="K250" s="2" t="inlineStr"/>
      <c r="L250">
        <f>IF(M250=G250,F250,IF(M250=I250,H250,J250))</f>
        <v/>
      </c>
      <c r="M250" s="2">
        <f>MIN(G250,I250,K250)</f>
        <v/>
      </c>
      <c r="N250" s="2">
        <f>D250*M250</f>
        <v/>
      </c>
      <c r="O250" s="2">
        <f>IF(ISBLANK(E250),0,D250*E250)</f>
        <v/>
      </c>
      <c r="P250" s="3">
        <f>IF(O250=0,0,(O250-N250)/O250)</f>
        <v/>
      </c>
      <c r="Q250" t="n">
        <v>60</v>
      </c>
      <c r="R250" t="inlineStr">
        <is>
          <t>LAUNCH_INVENTORY</t>
        </is>
      </c>
      <c r="S250" t="inlineStr"/>
    </row>
    <row r="251">
      <c r="A251" t="inlineStr">
        <is>
          <t>A6451</t>
        </is>
      </c>
      <c r="B251" t="inlineStr">
        <is>
          <t>S01</t>
        </is>
      </c>
      <c r="C251" t="inlineStr">
        <is>
          <t>MODERATE COMPRESSION BANDAGE, ELASTIC, KNITTED/WOVEN, LOAD RESISTANCE OF 1.25 TO 1.34 FOOT POUNDS AT 50% MAXIMUM STRETCH, WIDTH GREATER THAN OR EQUAL TO THREE INCHES AND LESS THAN FIVE INCHES, PER YARD</t>
        </is>
      </c>
      <c r="D251" t="n">
        <v>3</v>
      </c>
      <c r="E251" s="2" t="n">
        <v>2.45</v>
      </c>
      <c r="G251" s="2" t="inlineStr"/>
      <c r="I251" s="2" t="inlineStr"/>
      <c r="K251" s="2" t="inlineStr"/>
      <c r="L251">
        <f>IF(M251=G251,F251,IF(M251=I251,H251,J251))</f>
        <v/>
      </c>
      <c r="M251" s="2">
        <f>MIN(G251,I251,K251)</f>
        <v/>
      </c>
      <c r="N251" s="2">
        <f>D251*M251</f>
        <v/>
      </c>
      <c r="O251" s="2">
        <f>IF(ISBLANK(E251),0,D251*E251)</f>
        <v/>
      </c>
      <c r="P251" s="3">
        <f>IF(O251=0,0,(O251-N251)/O251)</f>
        <v/>
      </c>
      <c r="Q251" t="n">
        <v>60</v>
      </c>
      <c r="R251" t="inlineStr">
        <is>
          <t>LAUNCH_INVENTORY</t>
        </is>
      </c>
      <c r="S251" t="inlineStr"/>
    </row>
    <row r="252">
      <c r="A252" t="inlineStr">
        <is>
          <t>A6456</t>
        </is>
      </c>
      <c r="B252" t="inlineStr">
        <is>
          <t>S01</t>
        </is>
      </c>
      <c r="C252" t="inlineStr">
        <is>
          <t>ZINC PASTE IMPREGNATED BANDAGE, NON-ELASTIC, KNITTED/WOVEN, WIDTH GREATER THAN OR EQUAL TO THREE INCHES AND LESS THAN FIVE INCHES, PER YARD</t>
        </is>
      </c>
      <c r="D252" t="n">
        <v>3</v>
      </c>
      <c r="E252" s="2" t="n">
        <v>1.75</v>
      </c>
      <c r="G252" s="2" t="inlineStr"/>
      <c r="I252" s="2" t="inlineStr"/>
      <c r="K252" s="2" t="inlineStr"/>
      <c r="L252">
        <f>IF(M252=G252,F252,IF(M252=I252,H252,J252))</f>
        <v/>
      </c>
      <c r="M252" s="2">
        <f>MIN(G252,I252,K252)</f>
        <v/>
      </c>
      <c r="N252" s="2">
        <f>D252*M252</f>
        <v/>
      </c>
      <c r="O252" s="2">
        <f>IF(ISBLANK(E252),0,D252*E252)</f>
        <v/>
      </c>
      <c r="P252" s="3">
        <f>IF(O252=0,0,(O252-N252)/O252)</f>
        <v/>
      </c>
      <c r="Q252" t="n">
        <v>60</v>
      </c>
      <c r="R252" t="inlineStr">
        <is>
          <t>LAUNCH_INVENTORY</t>
        </is>
      </c>
      <c r="S252" t="inlineStr"/>
    </row>
    <row r="253">
      <c r="A253" t="inlineStr">
        <is>
          <t>A6441</t>
        </is>
      </c>
      <c r="B253" t="inlineStr">
        <is>
          <t>S01</t>
        </is>
      </c>
      <c r="C253" t="inlineStr">
        <is>
          <t>PADDING BANDAGE, NON-ELASTIC, NON-WOVEN/NON-KNITTED, WIDTH GREATER THAN OR EQUAL TO THREE INCHES AND LESS THAN FIVE INCHES, PER YARD</t>
        </is>
      </c>
      <c r="D253" t="n">
        <v>3</v>
      </c>
      <c r="E253" s="2" t="n">
        <v>0.95</v>
      </c>
      <c r="G253" s="2" t="inlineStr"/>
      <c r="I253" s="2" t="inlineStr"/>
      <c r="K253" s="2" t="inlineStr"/>
      <c r="L253">
        <f>IF(M253=G253,F253,IF(M253=I253,H253,J253))</f>
        <v/>
      </c>
      <c r="M253" s="2">
        <f>MIN(G253,I253,K253)</f>
        <v/>
      </c>
      <c r="N253" s="2">
        <f>D253*M253</f>
        <v/>
      </c>
      <c r="O253" s="2">
        <f>IF(ISBLANK(E253),0,D253*E253)</f>
        <v/>
      </c>
      <c r="P253" s="3">
        <f>IF(O253=0,0,(O253-N253)/O253)</f>
        <v/>
      </c>
      <c r="Q253" t="n">
        <v>60</v>
      </c>
      <c r="R253" t="inlineStr">
        <is>
          <t>LAUNCH_INVENTORY</t>
        </is>
      </c>
      <c r="S253" t="inlineStr"/>
    </row>
    <row r="254">
      <c r="A254" t="inlineStr">
        <is>
          <t>A6455</t>
        </is>
      </c>
      <c r="B254" t="inlineStr">
        <is>
          <t>S01</t>
        </is>
      </c>
      <c r="C254" t="inlineStr">
        <is>
          <t>SELF-ADHERENT BANDAGE, ELASTIC, NON-KNITTED/NON-WOVEN, WIDTH GREATER THAN OR EQUAL TO FIVE INCHES, PER YARD</t>
        </is>
      </c>
      <c r="D254" t="n">
        <v>3</v>
      </c>
      <c r="E254" s="2" t="n">
        <v>1.95</v>
      </c>
      <c r="G254" s="2" t="inlineStr"/>
      <c r="I254" s="2" t="inlineStr"/>
      <c r="K254" s="2" t="inlineStr"/>
      <c r="L254">
        <f>IF(M254=G254,F254,IF(M254=I254,H254,J254))</f>
        <v/>
      </c>
      <c r="M254" s="2">
        <f>MIN(G254,I254,K254)</f>
        <v/>
      </c>
      <c r="N254" s="2">
        <f>D254*M254</f>
        <v/>
      </c>
      <c r="O254" s="2">
        <f>IF(ISBLANK(E254),0,D254*E254)</f>
        <v/>
      </c>
      <c r="P254" s="3">
        <f>IF(O254=0,0,(O254-N254)/O254)</f>
        <v/>
      </c>
      <c r="Q254" t="n">
        <v>60</v>
      </c>
      <c r="R254" t="inlineStr">
        <is>
          <t>LAUNCH_INVENTORY</t>
        </is>
      </c>
      <c r="S254" t="inlineStr"/>
    </row>
    <row r="255">
      <c r="A255" t="inlineStr">
        <is>
          <t>E0154</t>
        </is>
      </c>
      <c r="B255" t="inlineStr">
        <is>
          <t>M05</t>
        </is>
      </c>
      <c r="C255" t="inlineStr">
        <is>
          <t>PLATFORM ATTACHMENT, WALKER, EACH</t>
        </is>
      </c>
      <c r="D255" t="n">
        <v>2</v>
      </c>
      <c r="E255" s="2" t="n">
        <v>59.34</v>
      </c>
      <c r="G255" s="2" t="inlineStr"/>
      <c r="I255" s="2" t="inlineStr"/>
      <c r="K255" s="2" t="inlineStr"/>
      <c r="L255">
        <f>IF(M255=G255,F255,IF(M255=I255,H255,J255))</f>
        <v/>
      </c>
      <c r="M255" s="2">
        <f>MIN(G255,I255,K255)</f>
        <v/>
      </c>
      <c r="N255" s="2">
        <f>D255*M255</f>
        <v/>
      </c>
      <c r="O255" s="2">
        <f>IF(ISBLANK(E255),0,D255*E255)</f>
        <v/>
      </c>
      <c r="P255" s="3">
        <f>IF(O255=0,0,(O255-N255)/O255)</f>
        <v/>
      </c>
      <c r="Q255" t="n">
        <v>50</v>
      </c>
      <c r="R255" t="inlineStr">
        <is>
          <t>LAUNCH_INVENTORY</t>
        </is>
      </c>
      <c r="S255" t="inlineStr"/>
    </row>
    <row r="256">
      <c r="A256" t="inlineStr">
        <is>
          <t>K0006</t>
        </is>
      </c>
      <c r="B256" t="inlineStr">
        <is>
          <t>M06</t>
        </is>
      </c>
      <c r="C256" t="inlineStr">
        <is>
          <t>HEAVY DUTY WHEELCHAIR</t>
        </is>
      </c>
      <c r="D256" t="n">
        <v>2</v>
      </c>
      <c r="E256" s="2" t="n">
        <v>63.58</v>
      </c>
      <c r="G256" s="2" t="inlineStr"/>
      <c r="I256" s="2" t="inlineStr"/>
      <c r="K256" s="2" t="inlineStr"/>
      <c r="L256">
        <f>IF(M256=G256,F256,IF(M256=I256,H256,J256))</f>
        <v/>
      </c>
      <c r="M256" s="2">
        <f>MIN(G256,I256,K256)</f>
        <v/>
      </c>
      <c r="N256" s="2">
        <f>D256*M256</f>
        <v/>
      </c>
      <c r="O256" s="2">
        <f>IF(ISBLANK(E256),0,D256*E256)</f>
        <v/>
      </c>
      <c r="P256" s="3">
        <f>IF(O256=0,0,(O256-N256)/O256)</f>
        <v/>
      </c>
      <c r="Q256" t="n">
        <v>50</v>
      </c>
      <c r="R256" t="inlineStr">
        <is>
          <t>LAUNCH_INVENTORY</t>
        </is>
      </c>
      <c r="S256" t="inlineStr"/>
    </row>
    <row r="257">
      <c r="A257" t="inlineStr">
        <is>
          <t>K0003</t>
        </is>
      </c>
      <c r="B257" t="inlineStr">
        <is>
          <t>M06</t>
        </is>
      </c>
      <c r="C257" t="inlineStr">
        <is>
          <t>LIGHTWEIGHT WHEELCHAIR</t>
        </is>
      </c>
      <c r="D257" t="n">
        <v>2</v>
      </c>
      <c r="E257" s="2" t="n">
        <v>32.15</v>
      </c>
      <c r="G257" s="2" t="inlineStr"/>
      <c r="I257" s="2" t="inlineStr"/>
      <c r="K257" s="2" t="inlineStr"/>
      <c r="L257">
        <f>IF(M257=G257,F257,IF(M257=I257,H257,J257))</f>
        <v/>
      </c>
      <c r="M257" s="2">
        <f>MIN(G257,I257,K257)</f>
        <v/>
      </c>
      <c r="N257" s="2">
        <f>D257*M257</f>
        <v/>
      </c>
      <c r="O257" s="2">
        <f>IF(ISBLANK(E257),0,D257*E257)</f>
        <v/>
      </c>
      <c r="P257" s="3">
        <f>IF(O257=0,0,(O257-N257)/O257)</f>
        <v/>
      </c>
      <c r="Q257" t="n">
        <v>50</v>
      </c>
      <c r="R257" t="inlineStr">
        <is>
          <t>LAUNCH_INVENTORY</t>
        </is>
      </c>
      <c r="S257" t="inlineStr"/>
    </row>
    <row r="258">
      <c r="A258" t="inlineStr">
        <is>
          <t>K0004</t>
        </is>
      </c>
      <c r="B258" t="inlineStr">
        <is>
          <t>M06</t>
        </is>
      </c>
      <c r="C258" t="inlineStr">
        <is>
          <t>HIGH STRENGTH, LIGHTWEIGHT WHEELCHAIR</t>
        </is>
      </c>
      <c r="D258" t="n">
        <v>2</v>
      </c>
      <c r="E258" s="2" t="n">
        <v>45.66</v>
      </c>
      <c r="G258" s="2" t="inlineStr"/>
      <c r="I258" s="2" t="inlineStr"/>
      <c r="K258" s="2" t="inlineStr"/>
      <c r="L258">
        <f>IF(M258=G258,F258,IF(M258=I258,H258,J258))</f>
        <v/>
      </c>
      <c r="M258" s="2">
        <f>MIN(G258,I258,K258)</f>
        <v/>
      </c>
      <c r="N258" s="2">
        <f>D258*M258</f>
        <v/>
      </c>
      <c r="O258" s="2">
        <f>IF(ISBLANK(E258),0,D258*E258)</f>
        <v/>
      </c>
      <c r="P258" s="3">
        <f>IF(O258=0,0,(O258-N258)/O258)</f>
        <v/>
      </c>
      <c r="Q258" t="n">
        <v>50</v>
      </c>
      <c r="R258" t="inlineStr">
        <is>
          <t>LAUNCH_INVENTORY</t>
        </is>
      </c>
      <c r="S258" t="inlineStr"/>
    </row>
    <row r="259">
      <c r="A259" t="inlineStr">
        <is>
          <t>E0114</t>
        </is>
      </c>
      <c r="B259" t="inlineStr">
        <is>
          <t>M01</t>
        </is>
      </c>
      <c r="C259" t="inlineStr">
        <is>
          <t>CRUTCHES UNDERARM, OTHER THAN WOOD, ADJUSTABLE OR FIXED, PAIR, WITH PADS, TIPS AND HANDGRIPS</t>
        </is>
      </c>
      <c r="D259" t="n">
        <v>2</v>
      </c>
      <c r="E259" s="2" t="n">
        <v>61.45</v>
      </c>
      <c r="G259" s="2" t="inlineStr"/>
      <c r="I259" s="2" t="inlineStr"/>
      <c r="K259" s="2" t="inlineStr"/>
      <c r="L259">
        <f>IF(M259=G259,F259,IF(M259=I259,H259,J259))</f>
        <v/>
      </c>
      <c r="M259" s="2">
        <f>MIN(G259,I259,K259)</f>
        <v/>
      </c>
      <c r="N259" s="2">
        <f>D259*M259</f>
        <v/>
      </c>
      <c r="O259" s="2">
        <f>IF(ISBLANK(E259),0,D259*E259)</f>
        <v/>
      </c>
      <c r="P259" s="3">
        <f>IF(O259=0,0,(O259-N259)/O259)</f>
        <v/>
      </c>
      <c r="Q259" t="n">
        <v>50</v>
      </c>
      <c r="R259" t="inlineStr">
        <is>
          <t>LAUNCH_INVENTORY</t>
        </is>
      </c>
      <c r="S259" t="inlineStr"/>
    </row>
    <row r="260">
      <c r="A260" t="inlineStr">
        <is>
          <t>E0116</t>
        </is>
      </c>
      <c r="B260" t="inlineStr">
        <is>
          <t>M01</t>
        </is>
      </c>
      <c r="C260" t="inlineStr">
        <is>
          <t>CRUTCH, UNDERARM, OTHER THAN WOOD, ADJUSTABLE OR FIXED, WITH PAD, TIP, HANDGRIP, WITH OR WITHOUT SHOCK ABSORBER, EACH</t>
        </is>
      </c>
      <c r="D260" t="n">
        <v>2</v>
      </c>
      <c r="E260" s="2" t="n">
        <v>32.95</v>
      </c>
      <c r="G260" s="2" t="inlineStr"/>
      <c r="I260" s="2" t="inlineStr"/>
      <c r="K260" s="2" t="inlineStr"/>
      <c r="L260">
        <f>IF(M260=G260,F260,IF(M260=I260,H260,J260))</f>
        <v/>
      </c>
      <c r="M260" s="2">
        <f>MIN(G260,I260,K260)</f>
        <v/>
      </c>
      <c r="N260" s="2">
        <f>D260*M260</f>
        <v/>
      </c>
      <c r="O260" s="2">
        <f>IF(ISBLANK(E260),0,D260*E260)</f>
        <v/>
      </c>
      <c r="P260" s="3">
        <f>IF(O260=0,0,(O260-N260)/O260)</f>
        <v/>
      </c>
      <c r="Q260" t="n">
        <v>50</v>
      </c>
      <c r="R260" t="inlineStr">
        <is>
          <t>LAUNCH_INVENTORY</t>
        </is>
      </c>
      <c r="S260" t="inlineStr"/>
    </row>
    <row r="261">
      <c r="A261" t="inlineStr">
        <is>
          <t>E0111</t>
        </is>
      </c>
      <c r="B261" t="inlineStr">
        <is>
          <t>M01</t>
        </is>
      </c>
      <c r="C261" t="inlineStr">
        <is>
          <t>CRUTCH FOREARM, INCLUDES CRUTCHES OF VARIOUS MATERIALS, ADJUSTABLE OR FIXED, EACH, WITH TIP AND HANDGRIPS</t>
        </is>
      </c>
      <c r="D261" t="n">
        <v>2</v>
      </c>
      <c r="E261" s="2" t="n">
        <v>70.8</v>
      </c>
      <c r="G261" s="2" t="inlineStr"/>
      <c r="I261" s="2" t="inlineStr"/>
      <c r="K261" s="2" t="inlineStr"/>
      <c r="L261">
        <f>IF(M261=G261,F261,IF(M261=I261,H261,J261))</f>
        <v/>
      </c>
      <c r="M261" s="2">
        <f>MIN(G261,I261,K261)</f>
        <v/>
      </c>
      <c r="N261" s="2">
        <f>D261*M261</f>
        <v/>
      </c>
      <c r="O261" s="2">
        <f>IF(ISBLANK(E261),0,D261*E261)</f>
        <v/>
      </c>
      <c r="P261" s="3">
        <f>IF(O261=0,0,(O261-N261)/O261)</f>
        <v/>
      </c>
      <c r="Q261" t="n">
        <v>50</v>
      </c>
      <c r="R261" t="inlineStr">
        <is>
          <t>LAUNCH_INVENTORY</t>
        </is>
      </c>
      <c r="S261" t="inlineStr"/>
    </row>
    <row r="262">
      <c r="A262" t="inlineStr">
        <is>
          <t>E0144</t>
        </is>
      </c>
      <c r="B262" t="inlineStr">
        <is>
          <t>M05</t>
        </is>
      </c>
      <c r="C262" t="inlineStr">
        <is>
          <t>WALKER, ENCLOSED, FOUR SIDED FRAMED, RIGID OR FOLDING, WHEELED WITH POSTERIOR SEAT</t>
        </is>
      </c>
      <c r="D262" t="n">
        <v>2</v>
      </c>
      <c r="E262" s="2" t="n">
        <v>33.46</v>
      </c>
      <c r="G262" s="2" t="inlineStr"/>
      <c r="I262" s="2" t="inlineStr"/>
      <c r="K262" s="2" t="inlineStr"/>
      <c r="L262">
        <f>IF(M262=G262,F262,IF(M262=I262,H262,J262))</f>
        <v/>
      </c>
      <c r="M262" s="2">
        <f>MIN(G262,I262,K262)</f>
        <v/>
      </c>
      <c r="N262" s="2">
        <f>D262*M262</f>
        <v/>
      </c>
      <c r="O262" s="2">
        <f>IF(ISBLANK(E262),0,D262*E262)</f>
        <v/>
      </c>
      <c r="P262" s="3">
        <f>IF(O262=0,0,(O262-N262)/O262)</f>
        <v/>
      </c>
      <c r="Q262" t="n">
        <v>50</v>
      </c>
      <c r="R262" t="inlineStr">
        <is>
          <t>LAUNCH_INVENTORY</t>
        </is>
      </c>
      <c r="S262" t="inlineStr"/>
    </row>
    <row r="263">
      <c r="A263" t="inlineStr">
        <is>
          <t>E0140</t>
        </is>
      </c>
      <c r="B263" t="inlineStr">
        <is>
          <t>M05</t>
        </is>
      </c>
      <c r="C263" t="inlineStr">
        <is>
          <t>WALKER, WITH TRUNK SUPPORT, ADJUSTABLE OR FIXED HEIGHT, ANY TYPE</t>
        </is>
      </c>
      <c r="D263" t="n">
        <v>2</v>
      </c>
      <c r="E263" s="2" t="n">
        <v>28.36</v>
      </c>
      <c r="G263" s="2" t="inlineStr"/>
      <c r="I263" s="2" t="inlineStr"/>
      <c r="K263" s="2" t="inlineStr"/>
      <c r="L263">
        <f>IF(M263=G263,F263,IF(M263=I263,H263,J263))</f>
        <v/>
      </c>
      <c r="M263" s="2">
        <f>MIN(G263,I263,K263)</f>
        <v/>
      </c>
      <c r="N263" s="2">
        <f>D263*M263</f>
        <v/>
      </c>
      <c r="O263" s="2">
        <f>IF(ISBLANK(E263),0,D263*E263)</f>
        <v/>
      </c>
      <c r="P263" s="3">
        <f>IF(O263=0,0,(O263-N263)/O263)</f>
        <v/>
      </c>
      <c r="Q263" t="n">
        <v>50</v>
      </c>
      <c r="R263" t="inlineStr">
        <is>
          <t>LAUNCH_INVENTORY</t>
        </is>
      </c>
      <c r="S263" t="inlineStr"/>
    </row>
    <row r="264">
      <c r="A264" t="inlineStr">
        <is>
          <t>E0110</t>
        </is>
      </c>
      <c r="B264" t="inlineStr">
        <is>
          <t>M01</t>
        </is>
      </c>
      <c r="C264" t="inlineStr">
        <is>
          <t>CRUTCHES, FOREARM, INCLUDES CRUTCHES OF VARIOUS MATERIALS, ADJUSTABLE OR FIXED, PAIR, COMPLETE WITH TIPS AND HANDGRIPS</t>
        </is>
      </c>
      <c r="D264" t="n">
        <v>2</v>
      </c>
      <c r="E264" s="2" t="n">
        <v>108.41</v>
      </c>
      <c r="G264" s="2" t="inlineStr"/>
      <c r="I264" s="2" t="inlineStr"/>
      <c r="K264" s="2" t="inlineStr"/>
      <c r="L264">
        <f>IF(M264=G264,F264,IF(M264=I264,H264,J264))</f>
        <v/>
      </c>
      <c r="M264" s="2">
        <f>MIN(G264,I264,K264)</f>
        <v/>
      </c>
      <c r="N264" s="2">
        <f>D264*M264</f>
        <v/>
      </c>
      <c r="O264" s="2">
        <f>IF(ISBLANK(E264),0,D264*E264)</f>
        <v/>
      </c>
      <c r="P264" s="3">
        <f>IF(O264=0,0,(O264-N264)/O264)</f>
        <v/>
      </c>
      <c r="Q264" t="n">
        <v>50</v>
      </c>
      <c r="R264" t="inlineStr">
        <is>
          <t>LAUNCH_INVENTORY</t>
        </is>
      </c>
      <c r="S264" t="inlineStr"/>
    </row>
    <row r="265">
      <c r="A265" t="inlineStr">
        <is>
          <t>A4233</t>
        </is>
      </c>
      <c r="B265" t="inlineStr">
        <is>
          <t>DM05</t>
        </is>
      </c>
      <c r="C265" t="inlineStr">
        <is>
          <t>REPLACEMENT BATTERY, ALKALINE (OTHER THAN J CELL), FOR USE WITH MEDICALLY NECESSARY HOME BLOOD GLUCOSE MONITOR OWNED BY PATIENT, EACH</t>
        </is>
      </c>
      <c r="D265" t="n">
        <v>2</v>
      </c>
      <c r="E265" s="2" t="n">
        <v>0.51</v>
      </c>
      <c r="G265" s="2" t="inlineStr"/>
      <c r="I265" s="2" t="inlineStr"/>
      <c r="K265" s="2" t="inlineStr"/>
      <c r="L265">
        <f>IF(M265=G265,F265,IF(M265=I265,H265,J265))</f>
        <v/>
      </c>
      <c r="M265" s="2">
        <f>MIN(G265,I265,K265)</f>
        <v/>
      </c>
      <c r="N265" s="2">
        <f>D265*M265</f>
        <v/>
      </c>
      <c r="O265" s="2">
        <f>IF(ISBLANK(E265),0,D265*E265)</f>
        <v/>
      </c>
      <c r="P265" s="3">
        <f>IF(O265=0,0,(O265-N265)/O265)</f>
        <v/>
      </c>
      <c r="Q265" t="n">
        <v>50</v>
      </c>
      <c r="R265" t="inlineStr">
        <is>
          <t>LAUNCH_INVENTORY</t>
        </is>
      </c>
      <c r="S265" t="inlineStr"/>
    </row>
    <row r="266">
      <c r="A266" t="inlineStr">
        <is>
          <t>E0105</t>
        </is>
      </c>
      <c r="B266" t="inlineStr">
        <is>
          <t>M01</t>
        </is>
      </c>
      <c r="C266" t="inlineStr">
        <is>
          <t>CANE, QUAD OR THREE PRONG, INCLUDES CANES OF ALL MATERIALS, ADJUSTABLE OR FIXED, WITH TIPS</t>
        </is>
      </c>
      <c r="D266" t="n">
        <v>2</v>
      </c>
      <c r="E266" s="2" t="n">
        <v>68.63</v>
      </c>
      <c r="G266" s="2" t="inlineStr"/>
      <c r="I266" s="2" t="inlineStr"/>
      <c r="K266" s="2" t="inlineStr"/>
      <c r="L266">
        <f>IF(M266=G266,F266,IF(M266=I266,H266,J266))</f>
        <v/>
      </c>
      <c r="M266" s="2">
        <f>MIN(G266,I266,K266)</f>
        <v/>
      </c>
      <c r="N266" s="2">
        <f>D266*M266</f>
        <v/>
      </c>
      <c r="O266" s="2">
        <f>IF(ISBLANK(E266),0,D266*E266)</f>
        <v/>
      </c>
      <c r="P266" s="3">
        <f>IF(O266=0,0,(O266-N266)/O266)</f>
        <v/>
      </c>
      <c r="Q266" t="n">
        <v>50</v>
      </c>
      <c r="R266" t="inlineStr">
        <is>
          <t>LAUNCH_INVENTORY</t>
        </is>
      </c>
      <c r="S266" t="inlineStr"/>
    </row>
    <row r="267">
      <c r="A267" t="inlineStr">
        <is>
          <t>E0100</t>
        </is>
      </c>
      <c r="B267" t="inlineStr">
        <is>
          <t>M01</t>
        </is>
      </c>
      <c r="C267" t="inlineStr">
        <is>
          <t>CANE, INCLUDES CANES OF ALL MATERIALS, ADJUSTABLE OR FIXED, WITH TIP</t>
        </is>
      </c>
      <c r="D267" t="n">
        <v>2</v>
      </c>
      <c r="E267" s="2" t="n">
        <v>29.45</v>
      </c>
      <c r="G267" s="2" t="inlineStr"/>
      <c r="I267" s="2" t="inlineStr"/>
      <c r="K267" s="2" t="inlineStr"/>
      <c r="L267">
        <f>IF(M267=G267,F267,IF(M267=I267,H267,J267))</f>
        <v/>
      </c>
      <c r="M267" s="2">
        <f>MIN(G267,I267,K267)</f>
        <v/>
      </c>
      <c r="N267" s="2">
        <f>D267*M267</f>
        <v/>
      </c>
      <c r="O267" s="2">
        <f>IF(ISBLANK(E267),0,D267*E267)</f>
        <v/>
      </c>
      <c r="P267" s="3">
        <f>IF(O267=0,0,(O267-N267)/O267)</f>
        <v/>
      </c>
      <c r="Q267" t="n">
        <v>50</v>
      </c>
      <c r="R267" t="inlineStr">
        <is>
          <t>LAUNCH_INVENTORY</t>
        </is>
      </c>
      <c r="S267" t="inlineStr"/>
    </row>
    <row r="268">
      <c r="A268" t="inlineStr">
        <is>
          <t>A4637</t>
        </is>
      </c>
      <c r="B268" t="inlineStr">
        <is>
          <t>M01</t>
        </is>
      </c>
      <c r="C268" t="inlineStr">
        <is>
          <t>REPLACEMENT, TIP, CANE, CRUTCH, WALKER, EACH.</t>
        </is>
      </c>
      <c r="D268" t="n">
        <v>2</v>
      </c>
      <c r="E268" s="2" t="n">
        <v>2.14</v>
      </c>
      <c r="G268" s="2" t="inlineStr"/>
      <c r="I268" s="2" t="inlineStr"/>
      <c r="K268" s="2" t="inlineStr"/>
      <c r="L268">
        <f>IF(M268=G268,F268,IF(M268=I268,H268,J268))</f>
        <v/>
      </c>
      <c r="M268" s="2">
        <f>MIN(G268,I268,K268)</f>
        <v/>
      </c>
      <c r="N268" s="2">
        <f>D268*M268</f>
        <v/>
      </c>
      <c r="O268" s="2">
        <f>IF(ISBLANK(E268),0,D268*E268)</f>
        <v/>
      </c>
      <c r="P268" s="3">
        <f>IF(O268=0,0,(O268-N268)/O268)</f>
        <v/>
      </c>
      <c r="Q268" t="n">
        <v>50</v>
      </c>
      <c r="R268" t="inlineStr">
        <is>
          <t>LAUNCH_INVENTORY</t>
        </is>
      </c>
      <c r="S268" t="inlineStr"/>
    </row>
    <row r="269">
      <c r="A269" t="inlineStr">
        <is>
          <t>A4635</t>
        </is>
      </c>
      <c r="B269" t="inlineStr">
        <is>
          <t>M01</t>
        </is>
      </c>
      <c r="C269" t="inlineStr">
        <is>
          <t>UNDERARM PAD, CRUTCH, REPLACEMENT, EACH</t>
        </is>
      </c>
      <c r="D269" t="n">
        <v>2</v>
      </c>
      <c r="E269" s="2" t="n">
        <v>7.14</v>
      </c>
      <c r="G269" s="2" t="inlineStr"/>
      <c r="I269" s="2" t="inlineStr"/>
      <c r="K269" s="2" t="inlineStr"/>
      <c r="L269">
        <f>IF(M269=G269,F269,IF(M269=I269,H269,J269))</f>
        <v/>
      </c>
      <c r="M269" s="2">
        <f>MIN(G269,I269,K269)</f>
        <v/>
      </c>
      <c r="N269" s="2">
        <f>D269*M269</f>
        <v/>
      </c>
      <c r="O269" s="2">
        <f>IF(ISBLANK(E269),0,D269*E269)</f>
        <v/>
      </c>
      <c r="P269" s="3">
        <f>IF(O269=0,0,(O269-N269)/O269)</f>
        <v/>
      </c>
      <c r="Q269" t="n">
        <v>50</v>
      </c>
      <c r="R269" t="inlineStr">
        <is>
          <t>LAUNCH_INVENTORY</t>
        </is>
      </c>
      <c r="S269" t="inlineStr"/>
    </row>
    <row r="270">
      <c r="A270" t="inlineStr">
        <is>
          <t>E0135</t>
        </is>
      </c>
      <c r="B270" t="inlineStr">
        <is>
          <t>M05</t>
        </is>
      </c>
      <c r="C270" t="inlineStr">
        <is>
          <t>WALKER, FOLDING (PICKUP), ADJUSTABLE OR FIXED HEIGHT</t>
        </is>
      </c>
      <c r="D270" t="n">
        <v>2</v>
      </c>
      <c r="E270" s="2" t="n">
        <v>51.36</v>
      </c>
      <c r="G270" s="2" t="inlineStr"/>
      <c r="I270" s="2" t="inlineStr"/>
      <c r="K270" s="2" t="inlineStr"/>
      <c r="L270">
        <f>IF(M270=G270,F270,IF(M270=I270,H270,J270))</f>
        <v/>
      </c>
      <c r="M270" s="2">
        <f>MIN(G270,I270,K270)</f>
        <v/>
      </c>
      <c r="N270" s="2">
        <f>D270*M270</f>
        <v/>
      </c>
      <c r="O270" s="2">
        <f>IF(ISBLANK(E270),0,D270*E270)</f>
        <v/>
      </c>
      <c r="P270" s="3">
        <f>IF(O270=0,0,(O270-N270)/O270)</f>
        <v/>
      </c>
      <c r="Q270" t="n">
        <v>50</v>
      </c>
      <c r="R270" t="inlineStr">
        <is>
          <t>LAUNCH_INVENTORY</t>
        </is>
      </c>
      <c r="S270" t="inlineStr"/>
    </row>
    <row r="271">
      <c r="A271" t="inlineStr">
        <is>
          <t>K0009</t>
        </is>
      </c>
      <c r="B271" t="inlineStr">
        <is>
          <t>M06</t>
        </is>
      </c>
      <c r="C271" t="inlineStr">
        <is>
          <t>OTHER MANUAL WHEELCHAIR/BASE</t>
        </is>
      </c>
      <c r="D271" t="n">
        <v>2</v>
      </c>
      <c r="E271" s="2" t="n">
        <v>99.86</v>
      </c>
      <c r="G271" s="2" t="inlineStr"/>
      <c r="I271" s="2" t="inlineStr"/>
      <c r="K271" s="2" t="inlineStr"/>
      <c r="L271">
        <f>IF(M271=G271,F271,IF(M271=I271,H271,J271))</f>
        <v/>
      </c>
      <c r="M271" s="2">
        <f>MIN(G271,I271,K271)</f>
        <v/>
      </c>
      <c r="N271" s="2">
        <f>D271*M271</f>
        <v/>
      </c>
      <c r="O271" s="2">
        <f>IF(ISBLANK(E271),0,D271*E271)</f>
        <v/>
      </c>
      <c r="P271" s="3">
        <f>IF(O271=0,0,(O271-N271)/O271)</f>
        <v/>
      </c>
      <c r="Q271" t="n">
        <v>50</v>
      </c>
      <c r="R271" t="inlineStr">
        <is>
          <t>LAUNCH_INVENTORY</t>
        </is>
      </c>
      <c r="S271" t="inlineStr"/>
    </row>
    <row r="272">
      <c r="A272" t="inlineStr">
        <is>
          <t>K0007</t>
        </is>
      </c>
      <c r="B272" t="inlineStr">
        <is>
          <t>M06</t>
        </is>
      </c>
      <c r="C272" t="inlineStr">
        <is>
          <t>EXTRA HEAVY DUTY WHEELCHAIR</t>
        </is>
      </c>
      <c r="D272" t="n">
        <v>2</v>
      </c>
      <c r="E272" s="2" t="n">
        <v>88.59</v>
      </c>
      <c r="G272" s="2" t="inlineStr"/>
      <c r="I272" s="2" t="inlineStr"/>
      <c r="K272" s="2" t="inlineStr"/>
      <c r="L272">
        <f>IF(M272=G272,F272,IF(M272=I272,H272,J272))</f>
        <v/>
      </c>
      <c r="M272" s="2">
        <f>MIN(G272,I272,K272)</f>
        <v/>
      </c>
      <c r="N272" s="2">
        <f>D272*M272</f>
        <v/>
      </c>
      <c r="O272" s="2">
        <f>IF(ISBLANK(E272),0,D272*E272)</f>
        <v/>
      </c>
      <c r="P272" s="3">
        <f>IF(O272=0,0,(O272-N272)/O272)</f>
        <v/>
      </c>
      <c r="Q272" t="n">
        <v>50</v>
      </c>
      <c r="R272" t="inlineStr">
        <is>
          <t>LAUNCH_INVENTORY</t>
        </is>
      </c>
      <c r="S272" t="inlineStr"/>
    </row>
    <row r="273">
      <c r="A273" t="inlineStr">
        <is>
          <t>E0148</t>
        </is>
      </c>
      <c r="B273" t="inlineStr">
        <is>
          <t>M05</t>
        </is>
      </c>
      <c r="C273" t="inlineStr">
        <is>
          <t>WALKER, HEAVY DUTY, WITHOUT WHEELS, RIGID OR FOLDING, ANY TYPE, EACH</t>
        </is>
      </c>
      <c r="D273" t="n">
        <v>2</v>
      </c>
      <c r="E273" s="2" t="n">
        <v>87.43000000000001</v>
      </c>
      <c r="G273" s="2" t="inlineStr"/>
      <c r="I273" s="2" t="inlineStr"/>
      <c r="K273" s="2" t="inlineStr"/>
      <c r="L273">
        <f>IF(M273=G273,F273,IF(M273=I273,H273,J273))</f>
        <v/>
      </c>
      <c r="M273" s="2">
        <f>MIN(G273,I273,K273)</f>
        <v/>
      </c>
      <c r="N273" s="2">
        <f>D273*M273</f>
        <v/>
      </c>
      <c r="O273" s="2">
        <f>IF(ISBLANK(E273),0,D273*E273)</f>
        <v/>
      </c>
      <c r="P273" s="3">
        <f>IF(O273=0,0,(O273-N273)/O273)</f>
        <v/>
      </c>
      <c r="Q273" t="n">
        <v>50</v>
      </c>
      <c r="R273" t="inlineStr">
        <is>
          <t>LAUNCH_INVENTORY</t>
        </is>
      </c>
      <c r="S273" t="inlineStr"/>
    </row>
    <row r="274">
      <c r="A274" t="inlineStr">
        <is>
          <t>E0149</t>
        </is>
      </c>
      <c r="B274" t="inlineStr">
        <is>
          <t>M05</t>
        </is>
      </c>
      <c r="C274" t="inlineStr">
        <is>
          <t>WALKER, HEAVY DUTY, WHEELED, RIGID OR FOLDING, ANY TYPE</t>
        </is>
      </c>
      <c r="D274" t="n">
        <v>2</v>
      </c>
      <c r="E274" s="2" t="n">
        <v>12</v>
      </c>
      <c r="G274" s="2" t="inlineStr"/>
      <c r="I274" s="2" t="inlineStr"/>
      <c r="K274" s="2" t="inlineStr"/>
      <c r="L274">
        <f>IF(M274=G274,F274,IF(M274=I274,H274,J274))</f>
        <v/>
      </c>
      <c r="M274" s="2">
        <f>MIN(G274,I274,K274)</f>
        <v/>
      </c>
      <c r="N274" s="2">
        <f>D274*M274</f>
        <v/>
      </c>
      <c r="O274" s="2">
        <f>IF(ISBLANK(E274),0,D274*E274)</f>
        <v/>
      </c>
      <c r="P274" s="3">
        <f>IF(O274=0,0,(O274-N274)/O274)</f>
        <v/>
      </c>
      <c r="Q274" t="n">
        <v>50</v>
      </c>
      <c r="R274" t="inlineStr">
        <is>
          <t>LAUNCH_INVENTORY</t>
        </is>
      </c>
      <c r="S274" t="inlineStr"/>
    </row>
    <row r="275">
      <c r="A275" t="inlineStr">
        <is>
          <t>E0153</t>
        </is>
      </c>
      <c r="B275" t="inlineStr">
        <is>
          <t>M01</t>
        </is>
      </c>
      <c r="C275" t="inlineStr">
        <is>
          <t>PLATFORM ATTACHMENT, FOREARM CRUTCH, EACH</t>
        </is>
      </c>
      <c r="D275" t="n">
        <v>2</v>
      </c>
      <c r="E275" s="2" t="n">
        <v>96.95999999999999</v>
      </c>
      <c r="G275" s="2" t="inlineStr"/>
      <c r="I275" s="2" t="inlineStr"/>
      <c r="K275" s="2" t="inlineStr"/>
      <c r="L275">
        <f>IF(M275=G275,F275,IF(M275=I275,H275,J275))</f>
        <v/>
      </c>
      <c r="M275" s="2">
        <f>MIN(G275,I275,K275)</f>
        <v/>
      </c>
      <c r="N275" s="2">
        <f>D275*M275</f>
        <v/>
      </c>
      <c r="O275" s="2">
        <f>IF(ISBLANK(E275),0,D275*E275)</f>
        <v/>
      </c>
      <c r="P275" s="3">
        <f>IF(O275=0,0,(O275-N275)/O275)</f>
        <v/>
      </c>
      <c r="Q275" t="n">
        <v>50</v>
      </c>
      <c r="R275" t="inlineStr">
        <is>
          <t>LAUNCH_INVENTORY</t>
        </is>
      </c>
      <c r="S275" t="inlineStr"/>
    </row>
    <row r="276">
      <c r="A276" t="inlineStr">
        <is>
          <t>E0117</t>
        </is>
      </c>
      <c r="B276" t="inlineStr">
        <is>
          <t>M01</t>
        </is>
      </c>
      <c r="C276" t="inlineStr">
        <is>
          <t>CRUTCH, UNDERARM, ARTICULATING, SPRING ASSISTED, EACH</t>
        </is>
      </c>
      <c r="D276" t="n">
        <v>2</v>
      </c>
      <c r="E276" s="2" t="n">
        <v>26.91</v>
      </c>
      <c r="G276" s="2" t="inlineStr"/>
      <c r="I276" s="2" t="inlineStr"/>
      <c r="K276" s="2" t="inlineStr"/>
      <c r="L276">
        <f>IF(M276=G276,F276,IF(M276=I276,H276,J276))</f>
        <v/>
      </c>
      <c r="M276" s="2">
        <f>MIN(G276,I276,K276)</f>
        <v/>
      </c>
      <c r="N276" s="2">
        <f>D276*M276</f>
        <v/>
      </c>
      <c r="O276" s="2">
        <f>IF(ISBLANK(E276),0,D276*E276)</f>
        <v/>
      </c>
      <c r="P276" s="3">
        <f>IF(O276=0,0,(O276-N276)/O276)</f>
        <v/>
      </c>
      <c r="Q276" t="n">
        <v>50</v>
      </c>
      <c r="R276" t="inlineStr">
        <is>
          <t>LAUNCH_INVENTORY</t>
        </is>
      </c>
      <c r="S276" t="inlineStr"/>
    </row>
    <row r="277">
      <c r="A277" t="inlineStr">
        <is>
          <t>E0159</t>
        </is>
      </c>
      <c r="B277" t="inlineStr">
        <is>
          <t>M05</t>
        </is>
      </c>
      <c r="C277" t="inlineStr">
        <is>
          <t>BRAKE ATTACHMENT FOR WHEELED WALKER, REPLACEMENT, EACH</t>
        </is>
      </c>
      <c r="D277" t="n">
        <v>2</v>
      </c>
      <c r="E277" s="2" t="n">
        <v>14.98</v>
      </c>
      <c r="G277" s="2" t="inlineStr"/>
      <c r="I277" s="2" t="inlineStr"/>
      <c r="K277" s="2" t="inlineStr"/>
      <c r="L277">
        <f>IF(M277=G277,F277,IF(M277=I277,H277,J277))</f>
        <v/>
      </c>
      <c r="M277" s="2">
        <f>MIN(G277,I277,K277)</f>
        <v/>
      </c>
      <c r="N277" s="2">
        <f>D277*M277</f>
        <v/>
      </c>
      <c r="O277" s="2">
        <f>IF(ISBLANK(E277),0,D277*E277)</f>
        <v/>
      </c>
      <c r="P277" s="3">
        <f>IF(O277=0,0,(O277-N277)/O277)</f>
        <v/>
      </c>
      <c r="Q277" t="n">
        <v>50</v>
      </c>
      <c r="R277" t="inlineStr">
        <is>
          <t>LAUNCH_INVENTORY</t>
        </is>
      </c>
      <c r="S277" t="inlineStr"/>
    </row>
    <row r="278">
      <c r="A278" t="inlineStr">
        <is>
          <t>E1031</t>
        </is>
      </c>
      <c r="B278" t="inlineStr">
        <is>
          <t>M06</t>
        </is>
      </c>
      <c r="C278" t="inlineStr">
        <is>
          <t>ROLLABOUT CHAIR, ANY AND ALL TYPES WITH CASTERS 5" OR GREATER</t>
        </is>
      </c>
      <c r="D278" t="n">
        <v>2</v>
      </c>
      <c r="E278" s="2" t="n">
        <v>43.29</v>
      </c>
      <c r="G278" s="2" t="inlineStr"/>
      <c r="I278" s="2" t="inlineStr"/>
      <c r="K278" s="2" t="inlineStr"/>
      <c r="L278">
        <f>IF(M278=G278,F278,IF(M278=I278,H278,J278))</f>
        <v/>
      </c>
      <c r="M278" s="2">
        <f>MIN(G278,I278,K278)</f>
        <v/>
      </c>
      <c r="N278" s="2">
        <f>D278*M278</f>
        <v/>
      </c>
      <c r="O278" s="2">
        <f>IF(ISBLANK(E278),0,D278*E278)</f>
        <v/>
      </c>
      <c r="P278" s="3">
        <f>IF(O278=0,0,(O278-N278)/O278)</f>
        <v/>
      </c>
      <c r="Q278" t="n">
        <v>50</v>
      </c>
      <c r="R278" t="inlineStr">
        <is>
          <t>LAUNCH_INVENTORY</t>
        </is>
      </c>
      <c r="S278" t="inlineStr"/>
    </row>
    <row r="279">
      <c r="A279" t="inlineStr">
        <is>
          <t>E0147</t>
        </is>
      </c>
      <c r="B279" t="inlineStr">
        <is>
          <t>M05</t>
        </is>
      </c>
      <c r="C279" t="inlineStr">
        <is>
          <t>WALKER, HEAVY DUTY, MULTIPLE BRAKING SYSTEM, VARIABLE WHEEL RESISTANCE</t>
        </is>
      </c>
      <c r="D279" t="n">
        <v>2</v>
      </c>
      <c r="E279" s="2" t="n">
        <v>479.72</v>
      </c>
      <c r="G279" s="2" t="inlineStr"/>
      <c r="I279" s="2" t="inlineStr"/>
      <c r="K279" s="2" t="inlineStr"/>
      <c r="L279">
        <f>IF(M279=G279,F279,IF(M279=I279,H279,J279))</f>
        <v/>
      </c>
      <c r="M279" s="2">
        <f>MIN(G279,I279,K279)</f>
        <v/>
      </c>
      <c r="N279" s="2">
        <f>D279*M279</f>
        <v/>
      </c>
      <c r="O279" s="2">
        <f>IF(ISBLANK(E279),0,D279*E279)</f>
        <v/>
      </c>
      <c r="P279" s="3">
        <f>IF(O279=0,0,(O279-N279)/O279)</f>
        <v/>
      </c>
      <c r="Q279" t="n">
        <v>50</v>
      </c>
      <c r="R279" t="inlineStr">
        <is>
          <t>LAUNCH_INVENTORY</t>
        </is>
      </c>
      <c r="S279" t="inlineStr"/>
    </row>
    <row r="280">
      <c r="A280" t="inlineStr">
        <is>
          <t>E0112</t>
        </is>
      </c>
      <c r="B280" t="inlineStr">
        <is>
          <t>M01</t>
        </is>
      </c>
      <c r="C280" t="inlineStr">
        <is>
          <t>CRUTCHES UNDERARM, WOOD, ADJUSTABLE OR FIXED, PAIR, WITH PADS, TIPS AND HANDGRIPS</t>
        </is>
      </c>
      <c r="D280" t="n">
        <v>2</v>
      </c>
      <c r="E280" s="2" t="n">
        <v>51.71</v>
      </c>
      <c r="G280" s="2" t="inlineStr"/>
      <c r="I280" s="2" t="inlineStr"/>
      <c r="K280" s="2" t="inlineStr"/>
      <c r="L280">
        <f>IF(M280=G280,F280,IF(M280=I280,H280,J280))</f>
        <v/>
      </c>
      <c r="M280" s="2">
        <f>MIN(G280,I280,K280)</f>
        <v/>
      </c>
      <c r="N280" s="2">
        <f>D280*M280</f>
        <v/>
      </c>
      <c r="O280" s="2">
        <f>IF(ISBLANK(E280),0,D280*E280)</f>
        <v/>
      </c>
      <c r="P280" s="3">
        <f>IF(O280=0,0,(O280-N280)/O280)</f>
        <v/>
      </c>
      <c r="Q280" t="n">
        <v>50</v>
      </c>
      <c r="R280" t="inlineStr">
        <is>
          <t>LAUNCH_INVENTORY</t>
        </is>
      </c>
      <c r="S280" t="inlineStr"/>
    </row>
    <row r="281">
      <c r="A281" t="inlineStr">
        <is>
          <t>A4636</t>
        </is>
      </c>
      <c r="B281" t="inlineStr">
        <is>
          <t>M01</t>
        </is>
      </c>
      <c r="C281" t="inlineStr">
        <is>
          <t>REPLACEMENT, HANDGRIP, CANE, CRUTCH, OR WALKER, EACH</t>
        </is>
      </c>
      <c r="D281" t="n">
        <v>2</v>
      </c>
      <c r="E281" s="2" t="n">
        <v>3.86</v>
      </c>
      <c r="G281" s="2" t="inlineStr"/>
      <c r="I281" s="2" t="inlineStr"/>
      <c r="K281" s="2" t="inlineStr"/>
      <c r="L281">
        <f>IF(M281=G281,F281,IF(M281=I281,H281,J281))</f>
        <v/>
      </c>
      <c r="M281" s="2">
        <f>MIN(G281,I281,K281)</f>
        <v/>
      </c>
      <c r="N281" s="2">
        <f>D281*M281</f>
        <v/>
      </c>
      <c r="O281" s="2">
        <f>IF(ISBLANK(E281),0,D281*E281)</f>
        <v/>
      </c>
      <c r="P281" s="3">
        <f>IF(O281=0,0,(O281-N281)/O281)</f>
        <v/>
      </c>
      <c r="Q281" t="n">
        <v>50</v>
      </c>
      <c r="R281" t="inlineStr">
        <is>
          <t>LAUNCH_INVENTORY</t>
        </is>
      </c>
      <c r="S281" t="inlineStr"/>
    </row>
    <row r="282">
      <c r="A282" t="inlineStr">
        <is>
          <t>A4637</t>
        </is>
      </c>
      <c r="B282" t="inlineStr">
        <is>
          <t>M05</t>
        </is>
      </c>
      <c r="C282" t="inlineStr">
        <is>
          <t>REPLACEMENT, TIP, CANE, CRUTCH, WALKER, EACH.</t>
        </is>
      </c>
      <c r="D282" t="n">
        <v>2</v>
      </c>
      <c r="E282" s="2" t="n">
        <v>2.14</v>
      </c>
      <c r="G282" s="2" t="inlineStr"/>
      <c r="I282" s="2" t="inlineStr"/>
      <c r="K282" s="2" t="inlineStr"/>
      <c r="L282">
        <f>IF(M282=G282,F282,IF(M282=I282,H282,J282))</f>
        <v/>
      </c>
      <c r="M282" s="2">
        <f>MIN(G282,I282,K282)</f>
        <v/>
      </c>
      <c r="N282" s="2">
        <f>D282*M282</f>
        <v/>
      </c>
      <c r="O282" s="2">
        <f>IF(ISBLANK(E282),0,D282*E282)</f>
        <v/>
      </c>
      <c r="P282" s="3">
        <f>IF(O282=0,0,(O282-N282)/O282)</f>
        <v/>
      </c>
      <c r="Q282" t="n">
        <v>50</v>
      </c>
      <c r="R282" t="inlineStr">
        <is>
          <t>LAUNCH_INVENTORY</t>
        </is>
      </c>
      <c r="S282" t="inlineStr"/>
    </row>
    <row r="283">
      <c r="A283" t="inlineStr">
        <is>
          <t>E1037</t>
        </is>
      </c>
      <c r="B283" t="inlineStr">
        <is>
          <t>M06</t>
        </is>
      </c>
      <c r="C283" t="inlineStr">
        <is>
          <t>TRANSPORT CHAIR, PEDIATRIC SIZE</t>
        </is>
      </c>
      <c r="D283" t="n">
        <v>2</v>
      </c>
      <c r="E283" s="2" t="n">
        <v>112.93</v>
      </c>
      <c r="G283" s="2" t="inlineStr"/>
      <c r="I283" s="2" t="inlineStr"/>
      <c r="K283" s="2" t="inlineStr"/>
      <c r="L283">
        <f>IF(M283=G283,F283,IF(M283=I283,H283,J283))</f>
        <v/>
      </c>
      <c r="M283" s="2">
        <f>MIN(G283,I283,K283)</f>
        <v/>
      </c>
      <c r="N283" s="2">
        <f>D283*M283</f>
        <v/>
      </c>
      <c r="O283" s="2">
        <f>IF(ISBLANK(E283),0,D283*E283)</f>
        <v/>
      </c>
      <c r="P283" s="3">
        <f>IF(O283=0,0,(O283-N283)/O283)</f>
        <v/>
      </c>
      <c r="Q283" t="n">
        <v>50</v>
      </c>
      <c r="R283" t="inlineStr">
        <is>
          <t>LAUNCH_INVENTORY</t>
        </is>
      </c>
      <c r="S283" t="inlineStr"/>
    </row>
    <row r="284">
      <c r="A284" t="inlineStr">
        <is>
          <t>E0113</t>
        </is>
      </c>
      <c r="B284" t="inlineStr">
        <is>
          <t>M01</t>
        </is>
      </c>
      <c r="C284" t="inlineStr">
        <is>
          <t>CRUTCH UNDERARM, WOOD, ADJUSTABLE OR FIXED, EACH, WITH PAD, TIP AND HANDGRIP</t>
        </is>
      </c>
      <c r="D284" t="n">
        <v>2</v>
      </c>
      <c r="E284" s="2" t="n">
        <v>29.54</v>
      </c>
      <c r="G284" s="2" t="inlineStr"/>
      <c r="I284" s="2" t="inlineStr"/>
      <c r="K284" s="2" t="inlineStr"/>
      <c r="L284">
        <f>IF(M284=G284,F284,IF(M284=I284,H284,J284))</f>
        <v/>
      </c>
      <c r="M284" s="2">
        <f>MIN(G284,I284,K284)</f>
        <v/>
      </c>
      <c r="N284" s="2">
        <f>D284*M284</f>
        <v/>
      </c>
      <c r="O284" s="2">
        <f>IF(ISBLANK(E284),0,D284*E284)</f>
        <v/>
      </c>
      <c r="P284" s="3">
        <f>IF(O284=0,0,(O284-N284)/O284)</f>
        <v/>
      </c>
      <c r="Q284" t="n">
        <v>50</v>
      </c>
      <c r="R284" t="inlineStr">
        <is>
          <t>LAUNCH_INVENTORY</t>
        </is>
      </c>
      <c r="S284" t="inlineStr"/>
    </row>
    <row r="285">
      <c r="A285" t="inlineStr">
        <is>
          <t>E0141</t>
        </is>
      </c>
      <c r="B285" t="inlineStr">
        <is>
          <t>M05</t>
        </is>
      </c>
      <c r="C285" t="inlineStr">
        <is>
          <t>WALKER, RIGID, WHEELED, ADJUSTABLE OR FIXED HEIGHT</t>
        </is>
      </c>
      <c r="D285" t="n">
        <v>2</v>
      </c>
      <c r="E285" s="2" t="n">
        <v>76.64</v>
      </c>
      <c r="G285" s="2" t="inlineStr"/>
      <c r="I285" s="2" t="inlineStr"/>
      <c r="K285" s="2" t="inlineStr"/>
      <c r="L285">
        <f>IF(M285=G285,F285,IF(M285=I285,H285,J285))</f>
        <v/>
      </c>
      <c r="M285" s="2">
        <f>MIN(G285,I285,K285)</f>
        <v/>
      </c>
      <c r="N285" s="2">
        <f>D285*M285</f>
        <v/>
      </c>
      <c r="O285" s="2">
        <f>IF(ISBLANK(E285),0,D285*E285)</f>
        <v/>
      </c>
      <c r="P285" s="3">
        <f>IF(O285=0,0,(O285-N285)/O285)</f>
        <v/>
      </c>
      <c r="Q285" t="n">
        <v>50</v>
      </c>
      <c r="R285" t="inlineStr">
        <is>
          <t>LAUNCH_INVENTORY</t>
        </is>
      </c>
      <c r="S285" t="inlineStr"/>
    </row>
    <row r="286">
      <c r="A286" t="inlineStr">
        <is>
          <t>E1038</t>
        </is>
      </c>
      <c r="B286" t="inlineStr">
        <is>
          <t>M06</t>
        </is>
      </c>
      <c r="C286" t="inlineStr">
        <is>
          <t>TRANSPORT CHAIR, ADULT SIZE, PATIENT WEIGHT CAPACITY UP TO AND INCLUDING 300 POUNDS</t>
        </is>
      </c>
      <c r="D286" t="n">
        <v>2</v>
      </c>
      <c r="E286" s="2" t="n">
        <v>14.18</v>
      </c>
      <c r="G286" s="2" t="inlineStr"/>
      <c r="I286" s="2" t="inlineStr"/>
      <c r="K286" s="2" t="inlineStr"/>
      <c r="L286">
        <f>IF(M286=G286,F286,IF(M286=I286,H286,J286))</f>
        <v/>
      </c>
      <c r="M286" s="2">
        <f>MIN(G286,I286,K286)</f>
        <v/>
      </c>
      <c r="N286" s="2">
        <f>D286*M286</f>
        <v/>
      </c>
      <c r="O286" s="2">
        <f>IF(ISBLANK(E286),0,D286*E286)</f>
        <v/>
      </c>
      <c r="P286" s="3">
        <f>IF(O286=0,0,(O286-N286)/O286)</f>
        <v/>
      </c>
      <c r="Q286" t="n">
        <v>50</v>
      </c>
      <c r="R286" t="inlineStr">
        <is>
          <t>LAUNCH_INVENTORY</t>
        </is>
      </c>
      <c r="S286" t="inlineStr"/>
    </row>
    <row r="287">
      <c r="A287" t="inlineStr">
        <is>
          <t>E0156</t>
        </is>
      </c>
      <c r="B287" t="inlineStr">
        <is>
          <t>M05</t>
        </is>
      </c>
      <c r="C287" t="inlineStr">
        <is>
          <t>SEAT ATTACHMENT, WALKER</t>
        </is>
      </c>
      <c r="D287" t="n">
        <v>2</v>
      </c>
      <c r="E287" s="2" t="n">
        <v>16.11</v>
      </c>
      <c r="G287" s="2" t="inlineStr"/>
      <c r="I287" s="2" t="inlineStr"/>
      <c r="K287" s="2" t="inlineStr"/>
      <c r="L287">
        <f>IF(M287=G287,F287,IF(M287=I287,H287,J287))</f>
        <v/>
      </c>
      <c r="M287" s="2">
        <f>MIN(G287,I287,K287)</f>
        <v/>
      </c>
      <c r="N287" s="2">
        <f>D287*M287</f>
        <v/>
      </c>
      <c r="O287" s="2">
        <f>IF(ISBLANK(E287),0,D287*E287)</f>
        <v/>
      </c>
      <c r="P287" s="3">
        <f>IF(O287=0,0,(O287-N287)/O287)</f>
        <v/>
      </c>
      <c r="Q287" t="n">
        <v>50</v>
      </c>
      <c r="R287" t="inlineStr">
        <is>
          <t>LAUNCH_INVENTORY</t>
        </is>
      </c>
      <c r="S287" t="inlineStr"/>
    </row>
    <row r="288">
      <c r="A288" t="inlineStr">
        <is>
          <t>E0155</t>
        </is>
      </c>
      <c r="B288" t="inlineStr">
        <is>
          <t>M05</t>
        </is>
      </c>
      <c r="C288" t="inlineStr">
        <is>
          <t>WHEEL ATTACHMENT, RIGID PICK-UP WALKER, PER PAIR</t>
        </is>
      </c>
      <c r="D288" t="n">
        <v>2</v>
      </c>
      <c r="E288" s="2" t="n">
        <v>23.73</v>
      </c>
      <c r="G288" s="2" t="inlineStr"/>
      <c r="I288" s="2" t="inlineStr"/>
      <c r="K288" s="2" t="inlineStr"/>
      <c r="L288">
        <f>IF(M288=G288,F288,IF(M288=I288,H288,J288))</f>
        <v/>
      </c>
      <c r="M288" s="2">
        <f>MIN(G288,I288,K288)</f>
        <v/>
      </c>
      <c r="N288" s="2">
        <f>D288*M288</f>
        <v/>
      </c>
      <c r="O288" s="2">
        <f>IF(ISBLANK(E288),0,D288*E288)</f>
        <v/>
      </c>
      <c r="P288" s="3">
        <f>IF(O288=0,0,(O288-N288)/O288)</f>
        <v/>
      </c>
      <c r="Q288" t="n">
        <v>50</v>
      </c>
      <c r="R288" t="inlineStr">
        <is>
          <t>LAUNCH_INVENTORY</t>
        </is>
      </c>
      <c r="S288" t="inlineStr"/>
    </row>
    <row r="289">
      <c r="A289" t="inlineStr">
        <is>
          <t>E0158</t>
        </is>
      </c>
      <c r="B289" t="inlineStr">
        <is>
          <t>M05</t>
        </is>
      </c>
      <c r="C289" t="inlineStr">
        <is>
          <t>LEG EXTENSIONS FOR WALKER, PER SET OF FOUR (4)</t>
        </is>
      </c>
      <c r="D289" t="n">
        <v>2</v>
      </c>
      <c r="E289" s="2" t="n">
        <v>22.49</v>
      </c>
      <c r="G289" s="2" t="inlineStr"/>
      <c r="I289" s="2" t="inlineStr"/>
      <c r="K289" s="2" t="inlineStr"/>
      <c r="L289">
        <f>IF(M289=G289,F289,IF(M289=I289,H289,J289))</f>
        <v/>
      </c>
      <c r="M289" s="2">
        <f>MIN(G289,I289,K289)</f>
        <v/>
      </c>
      <c r="N289" s="2">
        <f>D289*M289</f>
        <v/>
      </c>
      <c r="O289" s="2">
        <f>IF(ISBLANK(E289),0,D289*E289)</f>
        <v/>
      </c>
      <c r="P289" s="3">
        <f>IF(O289=0,0,(O289-N289)/O289)</f>
        <v/>
      </c>
      <c r="Q289" t="n">
        <v>50</v>
      </c>
      <c r="R289" t="inlineStr">
        <is>
          <t>LAUNCH_INVENTORY</t>
        </is>
      </c>
      <c r="S289" t="inlineStr"/>
    </row>
    <row r="290">
      <c r="A290" t="inlineStr">
        <is>
          <t>E0157</t>
        </is>
      </c>
      <c r="B290" t="inlineStr">
        <is>
          <t>M05</t>
        </is>
      </c>
      <c r="C290" t="inlineStr">
        <is>
          <t>CRUTCH ATTACHMENT, WALKER, EACH</t>
        </is>
      </c>
      <c r="D290" t="n">
        <v>2</v>
      </c>
      <c r="E290" s="2" t="n">
        <v>56.73</v>
      </c>
      <c r="G290" s="2" t="inlineStr"/>
      <c r="I290" s="2" t="inlineStr"/>
      <c r="K290" s="2" t="inlineStr"/>
      <c r="L290">
        <f>IF(M290=G290,F290,IF(M290=I290,H290,J290))</f>
        <v/>
      </c>
      <c r="M290" s="2">
        <f>MIN(G290,I290,K290)</f>
        <v/>
      </c>
      <c r="N290" s="2">
        <f>D290*M290</f>
        <v/>
      </c>
      <c r="O290" s="2">
        <f>IF(ISBLANK(E290),0,D290*E290)</f>
        <v/>
      </c>
      <c r="P290" s="3">
        <f>IF(O290=0,0,(O290-N290)/O290)</f>
        <v/>
      </c>
      <c r="Q290" t="n">
        <v>50</v>
      </c>
      <c r="R290" t="inlineStr">
        <is>
          <t>LAUNCH_INVENTORY</t>
        </is>
      </c>
      <c r="S290" t="inlineStr"/>
    </row>
    <row r="291">
      <c r="A291" t="inlineStr">
        <is>
          <t>K0002</t>
        </is>
      </c>
      <c r="B291" t="inlineStr">
        <is>
          <t>M06</t>
        </is>
      </c>
      <c r="C291" t="inlineStr">
        <is>
          <t>STANDARD HEMI (LOW SEAT) WHEELCHAIR</t>
        </is>
      </c>
      <c r="D291" t="n">
        <v>2</v>
      </c>
      <c r="E291" s="2" t="n">
        <v>38.72</v>
      </c>
      <c r="G291" s="2" t="inlineStr"/>
      <c r="I291" s="2" t="inlineStr"/>
      <c r="K291" s="2" t="inlineStr"/>
      <c r="L291">
        <f>IF(M291=G291,F291,IF(M291=I291,H291,J291))</f>
        <v/>
      </c>
      <c r="M291" s="2">
        <f>MIN(G291,I291,K291)</f>
        <v/>
      </c>
      <c r="N291" s="2">
        <f>D291*M291</f>
        <v/>
      </c>
      <c r="O291" s="2">
        <f>IF(ISBLANK(E291),0,D291*E291)</f>
        <v/>
      </c>
      <c r="P291" s="3">
        <f>IF(O291=0,0,(O291-N291)/O291)</f>
        <v/>
      </c>
      <c r="Q291" t="n">
        <v>50</v>
      </c>
      <c r="R291" t="inlineStr">
        <is>
          <t>LAUNCH_INVENTORY</t>
        </is>
      </c>
      <c r="S291" t="inlineStr"/>
    </row>
    <row r="292">
      <c r="A292" t="inlineStr">
        <is>
          <t>E1039</t>
        </is>
      </c>
      <c r="B292" t="inlineStr">
        <is>
          <t>M06</t>
        </is>
      </c>
      <c r="C292" t="inlineStr">
        <is>
          <t>TRANSPORT CHAIR, ADULT SIZE, HEAVY DUTY, PATIENT WEIGHT CAPACITY GREATER THAN 300 POUNDS</t>
        </is>
      </c>
      <c r="D292" t="n">
        <v>2</v>
      </c>
      <c r="E292" s="2" t="n">
        <v>37.48</v>
      </c>
      <c r="G292" s="2" t="inlineStr"/>
      <c r="I292" s="2" t="inlineStr"/>
      <c r="K292" s="2" t="inlineStr"/>
      <c r="L292">
        <f>IF(M292=G292,F292,IF(M292=I292,H292,J292))</f>
        <v/>
      </c>
      <c r="M292" s="2">
        <f>MIN(G292,I292,K292)</f>
        <v/>
      </c>
      <c r="N292" s="2">
        <f>D292*M292</f>
        <v/>
      </c>
      <c r="O292" s="2">
        <f>IF(ISBLANK(E292),0,D292*E292)</f>
        <v/>
      </c>
      <c r="P292" s="3">
        <f>IF(O292=0,0,(O292-N292)/O292)</f>
        <v/>
      </c>
      <c r="Q292" t="n">
        <v>50</v>
      </c>
      <c r="R292" t="inlineStr">
        <is>
          <t>LAUNCH_INVENTORY</t>
        </is>
      </c>
      <c r="S292" t="inlineStr"/>
    </row>
    <row r="293">
      <c r="A293" t="inlineStr">
        <is>
          <t>E0720</t>
        </is>
      </c>
      <c r="B293" t="inlineStr">
        <is>
          <t>DM22</t>
        </is>
      </c>
      <c r="C293" t="inlineStr">
        <is>
          <t>TENS device - 2 lead</t>
        </is>
      </c>
      <c r="D293" t="n">
        <v>6</v>
      </c>
      <c r="E293" s="2" t="n">
        <v>69.05</v>
      </c>
      <c r="G293" s="2" t="inlineStr"/>
      <c r="I293" s="2" t="inlineStr"/>
      <c r="K293" s="2" t="inlineStr"/>
      <c r="L293">
        <f>IF(M293=G293,F293,IF(M293=I293,H293,J293))</f>
        <v/>
      </c>
      <c r="M293" s="2">
        <f>MIN(G293,I293,K293)</f>
        <v/>
      </c>
      <c r="N293" s="2">
        <f>D293*M293</f>
        <v/>
      </c>
      <c r="O293" s="2">
        <f>IF(ISBLANK(E293),0,D293*E293)</f>
        <v/>
      </c>
      <c r="P293" s="3">
        <f>IF(O293=0,0,(O293-N293)/O293)</f>
        <v/>
      </c>
      <c r="Q293" t="n">
        <v>40</v>
      </c>
      <c r="R293" t="inlineStr">
        <is>
          <t>LAUNCH_INVENTORY</t>
        </is>
      </c>
      <c r="S293" t="inlineStr"/>
    </row>
    <row r="294">
      <c r="A294" t="inlineStr">
        <is>
          <t>A7013</t>
        </is>
      </c>
      <c r="B294" t="inlineStr">
        <is>
          <t>R07</t>
        </is>
      </c>
      <c r="C294" t="inlineStr">
        <is>
          <t>Nebulizer filter - disposable</t>
        </is>
      </c>
      <c r="D294" t="n">
        <v>50</v>
      </c>
      <c r="E294" s="2" t="n">
        <v>0.67</v>
      </c>
      <c r="G294" s="2" t="inlineStr"/>
      <c r="I294" s="2" t="inlineStr"/>
      <c r="K294" s="2" t="inlineStr"/>
      <c r="L294">
        <f>IF(M294=G294,F294,IF(M294=I294,H294,J294))</f>
        <v/>
      </c>
      <c r="M294" s="2">
        <f>MIN(G294,I294,K294)</f>
        <v/>
      </c>
      <c r="N294" s="2">
        <f>D294*M294</f>
        <v/>
      </c>
      <c r="O294" s="2">
        <f>IF(ISBLANK(E294),0,D294*E294)</f>
        <v/>
      </c>
      <c r="P294" s="3">
        <f>IF(O294=0,0,(O294-N294)/O294)</f>
        <v/>
      </c>
      <c r="Q294" t="n">
        <v>40</v>
      </c>
      <c r="R294" t="inlineStr">
        <is>
          <t>LAUNCH_INVENTORY</t>
        </is>
      </c>
      <c r="S294" t="inlineStr"/>
    </row>
    <row r="295">
      <c r="A295" t="inlineStr">
        <is>
          <t>L1820</t>
        </is>
      </c>
      <c r="B295" t="inlineStr">
        <is>
          <t>OR03</t>
        </is>
      </c>
      <c r="C295" t="inlineStr">
        <is>
          <t>Knee orthosis - soft interface</t>
        </is>
      </c>
      <c r="D295" t="n">
        <v>4</v>
      </c>
      <c r="E295" s="2" t="n"/>
      <c r="G295" s="2" t="inlineStr"/>
      <c r="I295" s="2" t="inlineStr"/>
      <c r="K295" s="2" t="inlineStr"/>
      <c r="L295">
        <f>IF(M295=G295,F295,IF(M295=I295,H295,J295))</f>
        <v/>
      </c>
      <c r="M295" s="2">
        <f>MIN(G295,I295,K295)</f>
        <v/>
      </c>
      <c r="N295" s="2">
        <f>D295*M295</f>
        <v/>
      </c>
      <c r="O295" s="2">
        <f>IF(ISBLANK(E295),0,D295*E295)</f>
        <v/>
      </c>
      <c r="P295" s="3">
        <f>IF(O295=0,0,(O295-N295)/O295)</f>
        <v/>
      </c>
      <c r="Q295" t="n">
        <v>40</v>
      </c>
      <c r="R295" t="inlineStr">
        <is>
          <t>LAUNCH_INVENTORY</t>
        </is>
      </c>
      <c r="S295" t="inlineStr"/>
    </row>
    <row r="296">
      <c r="A296" t="inlineStr">
        <is>
          <t>L1810</t>
        </is>
      </c>
      <c r="B296" t="inlineStr">
        <is>
          <t>OR03</t>
        </is>
      </c>
      <c r="C296" t="inlineStr">
        <is>
          <t>Knee orthosis - elastic support</t>
        </is>
      </c>
      <c r="D296" t="n">
        <v>4</v>
      </c>
      <c r="E296" s="2" t="n"/>
      <c r="G296" s="2" t="inlineStr"/>
      <c r="I296" s="2" t="inlineStr"/>
      <c r="K296" s="2" t="inlineStr"/>
      <c r="L296">
        <f>IF(M296=G296,F296,IF(M296=I296,H296,J296))</f>
        <v/>
      </c>
      <c r="M296" s="2">
        <f>MIN(G296,I296,K296)</f>
        <v/>
      </c>
      <c r="N296" s="2">
        <f>D296*M296</f>
        <v/>
      </c>
      <c r="O296" s="2">
        <f>IF(ISBLANK(E296),0,D296*E296)</f>
        <v/>
      </c>
      <c r="P296" s="3">
        <f>IF(O296=0,0,(O296-N296)/O296)</f>
        <v/>
      </c>
      <c r="Q296" t="n">
        <v>40</v>
      </c>
      <c r="R296" t="inlineStr">
        <is>
          <t>LAUNCH_INVENTORY</t>
        </is>
      </c>
      <c r="S296" t="inlineStr"/>
    </row>
    <row r="297">
      <c r="A297" t="inlineStr">
        <is>
          <t>L0625</t>
        </is>
      </c>
      <c r="B297" t="inlineStr">
        <is>
          <t>OR03</t>
        </is>
      </c>
      <c r="C297" t="inlineStr">
        <is>
          <t>Lumbar orthosis - sagittal-coronal control</t>
        </is>
      </c>
      <c r="D297" t="n">
        <v>3</v>
      </c>
      <c r="E297" s="2" t="n">
        <v>26.92</v>
      </c>
      <c r="G297" s="2" t="inlineStr"/>
      <c r="I297" s="2" t="inlineStr"/>
      <c r="K297" s="2" t="inlineStr"/>
      <c r="L297">
        <f>IF(M297=G297,F297,IF(M297=I297,H297,J297))</f>
        <v/>
      </c>
      <c r="M297" s="2">
        <f>MIN(G297,I297,K297)</f>
        <v/>
      </c>
      <c r="N297" s="2">
        <f>D297*M297</f>
        <v/>
      </c>
      <c r="O297" s="2">
        <f>IF(ISBLANK(E297),0,D297*E297)</f>
        <v/>
      </c>
      <c r="P297" s="3">
        <f>IF(O297=0,0,(O297-N297)/O297)</f>
        <v/>
      </c>
      <c r="Q297" t="n">
        <v>40</v>
      </c>
      <c r="R297" t="inlineStr">
        <is>
          <t>LAUNCH_INVENTORY</t>
        </is>
      </c>
      <c r="S297" t="inlineStr"/>
    </row>
    <row r="298">
      <c r="A298" t="inlineStr">
        <is>
          <t>L3908</t>
        </is>
      </c>
      <c r="B298" t="inlineStr">
        <is>
          <t>OR03</t>
        </is>
      </c>
      <c r="C298" t="inlineStr">
        <is>
          <t>Wrist-hand-finger orthosis</t>
        </is>
      </c>
      <c r="D298" t="n">
        <v>4</v>
      </c>
      <c r="E298" s="2" t="n">
        <v>88.06</v>
      </c>
      <c r="G298" s="2" t="inlineStr"/>
      <c r="I298" s="2" t="inlineStr"/>
      <c r="K298" s="2" t="inlineStr"/>
      <c r="L298">
        <f>IF(M298=G298,F298,IF(M298=I298,H298,J298))</f>
        <v/>
      </c>
      <c r="M298" s="2">
        <f>MIN(G298,I298,K298)</f>
        <v/>
      </c>
      <c r="N298" s="2">
        <f>D298*M298</f>
        <v/>
      </c>
      <c r="O298" s="2">
        <f>IF(ISBLANK(E298),0,D298*E298)</f>
        <v/>
      </c>
      <c r="P298" s="3">
        <f>IF(O298=0,0,(O298-N298)/O298)</f>
        <v/>
      </c>
      <c r="Q298" t="n">
        <v>40</v>
      </c>
      <c r="R298" t="inlineStr">
        <is>
          <t>LAUNCH_INVENTORY</t>
        </is>
      </c>
      <c r="S298" t="inlineStr"/>
    </row>
    <row r="299">
      <c r="A299" t="inlineStr">
        <is>
          <t>L1830</t>
        </is>
      </c>
      <c r="B299" t="inlineStr">
        <is>
          <t>OR03</t>
        </is>
      </c>
      <c r="C299" t="inlineStr">
        <is>
          <t>Knee orthosis - rigid support</t>
        </is>
      </c>
      <c r="D299" t="n">
        <v>4</v>
      </c>
      <c r="E299" s="2" t="n">
        <v>51.32</v>
      </c>
      <c r="G299" s="2" t="inlineStr"/>
      <c r="I299" s="2" t="inlineStr"/>
      <c r="K299" s="2" t="inlineStr"/>
      <c r="L299">
        <f>IF(M299=G299,F299,IF(M299=I299,H299,J299))</f>
        <v/>
      </c>
      <c r="M299" s="2">
        <f>MIN(G299,I299,K299)</f>
        <v/>
      </c>
      <c r="N299" s="2">
        <f>D299*M299</f>
        <v/>
      </c>
      <c r="O299" s="2">
        <f>IF(ISBLANK(E299),0,D299*E299)</f>
        <v/>
      </c>
      <c r="P299" s="3">
        <f>IF(O299=0,0,(O299-N299)/O299)</f>
        <v/>
      </c>
      <c r="Q299" t="n">
        <v>40</v>
      </c>
      <c r="R299" t="inlineStr">
        <is>
          <t>LAUNCH_INVENTORY</t>
        </is>
      </c>
      <c r="S299" t="inlineStr"/>
    </row>
    <row r="300">
      <c r="A300" t="inlineStr">
        <is>
          <t>L0621</t>
        </is>
      </c>
      <c r="B300" t="inlineStr">
        <is>
          <t>OR03</t>
        </is>
      </c>
      <c r="C300" t="inlineStr">
        <is>
          <t>Lumbar orthosis - sagittal control</t>
        </is>
      </c>
      <c r="D300" t="n">
        <v>3</v>
      </c>
      <c r="E300" s="2" t="n">
        <v>48.11</v>
      </c>
      <c r="G300" s="2" t="inlineStr"/>
      <c r="I300" s="2" t="inlineStr"/>
      <c r="K300" s="2" t="inlineStr"/>
      <c r="L300">
        <f>IF(M300=G300,F300,IF(M300=I300,H300,J300))</f>
        <v/>
      </c>
      <c r="M300" s="2">
        <f>MIN(G300,I300,K300)</f>
        <v/>
      </c>
      <c r="N300" s="2">
        <f>D300*M300</f>
        <v/>
      </c>
      <c r="O300" s="2">
        <f>IF(ISBLANK(E300),0,D300*E300)</f>
        <v/>
      </c>
      <c r="P300" s="3">
        <f>IF(O300=0,0,(O300-N300)/O300)</f>
        <v/>
      </c>
      <c r="Q300" t="n">
        <v>40</v>
      </c>
      <c r="R300" t="inlineStr">
        <is>
          <t>LAUNCH_INVENTORY</t>
        </is>
      </c>
      <c r="S300" t="inlineStr"/>
    </row>
    <row r="301">
      <c r="A301" t="inlineStr">
        <is>
          <t>E0217</t>
        </is>
      </c>
      <c r="B301" t="inlineStr">
        <is>
          <t>DM08</t>
        </is>
      </c>
      <c r="C301" t="inlineStr">
        <is>
          <t>Electric heating pad - moist</t>
        </is>
      </c>
      <c r="D301" t="n">
        <v>10</v>
      </c>
      <c r="E301" s="2" t="n">
        <v>589.61</v>
      </c>
      <c r="G301" s="2" t="inlineStr"/>
      <c r="I301" s="2" t="inlineStr"/>
      <c r="K301" s="2" t="inlineStr"/>
      <c r="L301">
        <f>IF(M301=G301,F301,IF(M301=I301,H301,J301))</f>
        <v/>
      </c>
      <c r="M301" s="2">
        <f>MIN(G301,I301,K301)</f>
        <v/>
      </c>
      <c r="N301" s="2">
        <f>D301*M301</f>
        <v/>
      </c>
      <c r="O301" s="2">
        <f>IF(ISBLANK(E301),0,D301*E301)</f>
        <v/>
      </c>
      <c r="P301" s="3">
        <f>IF(O301=0,0,(O301-N301)/O301)</f>
        <v/>
      </c>
      <c r="Q301" t="n">
        <v>40</v>
      </c>
      <c r="R301" t="inlineStr">
        <is>
          <t>LAUNCH_INVENTORY</t>
        </is>
      </c>
      <c r="S301" t="inlineStr"/>
    </row>
    <row r="302">
      <c r="A302" t="inlineStr">
        <is>
          <t>E0215</t>
        </is>
      </c>
      <c r="B302" t="inlineStr">
        <is>
          <t>DM08</t>
        </is>
      </c>
      <c r="C302" t="inlineStr">
        <is>
          <t>Electric heating pad - standard</t>
        </is>
      </c>
      <c r="D302" t="n">
        <v>10</v>
      </c>
      <c r="E302" s="2" t="n">
        <v>84.13</v>
      </c>
      <c r="G302" s="2" t="inlineStr"/>
      <c r="I302" s="2" t="inlineStr"/>
      <c r="K302" s="2" t="inlineStr"/>
      <c r="L302">
        <f>IF(M302=G302,F302,IF(M302=I302,H302,J302))</f>
        <v/>
      </c>
      <c r="M302" s="2">
        <f>MIN(G302,I302,K302)</f>
        <v/>
      </c>
      <c r="N302" s="2">
        <f>D302*M302</f>
        <v/>
      </c>
      <c r="O302" s="2">
        <f>IF(ISBLANK(E302),0,D302*E302)</f>
        <v/>
      </c>
      <c r="P302" s="3">
        <f>IF(O302=0,0,(O302-N302)/O302)</f>
        <v/>
      </c>
      <c r="Q302" t="n">
        <v>40</v>
      </c>
      <c r="R302" t="inlineStr">
        <is>
          <t>LAUNCH_INVENTORY</t>
        </is>
      </c>
      <c r="S302" t="inlineStr"/>
    </row>
    <row r="303">
      <c r="A303" t="inlineStr">
        <is>
          <t>E0198</t>
        </is>
      </c>
      <c r="B303" t="inlineStr">
        <is>
          <t>DM20</t>
        </is>
      </c>
      <c r="C303" t="inlineStr">
        <is>
          <t>Water pressure pad - standard mattress</t>
        </is>
      </c>
      <c r="D303" t="n">
        <v>4</v>
      </c>
      <c r="E303" s="2" t="n"/>
      <c r="G303" s="2" t="inlineStr"/>
      <c r="I303" s="2" t="inlineStr"/>
      <c r="K303" s="2" t="inlineStr"/>
      <c r="L303">
        <f>IF(M303=G303,F303,IF(M303=I303,H303,J303))</f>
        <v/>
      </c>
      <c r="M303" s="2">
        <f>MIN(G303,I303,K303)</f>
        <v/>
      </c>
      <c r="N303" s="2">
        <f>D303*M303</f>
        <v/>
      </c>
      <c r="O303" s="2">
        <f>IF(ISBLANK(E303),0,D303*E303)</f>
        <v/>
      </c>
      <c r="P303" s="3">
        <f>IF(O303=0,0,(O303-N303)/O303)</f>
        <v/>
      </c>
      <c r="Q303" t="n">
        <v>40</v>
      </c>
      <c r="R303" t="inlineStr">
        <is>
          <t>LAUNCH_INVENTORY</t>
        </is>
      </c>
      <c r="S303" t="inlineStr"/>
    </row>
    <row r="304">
      <c r="A304" t="inlineStr">
        <is>
          <t>E0277</t>
        </is>
      </c>
      <c r="B304" t="inlineStr">
        <is>
          <t>DM20</t>
        </is>
      </c>
      <c r="C304" t="inlineStr">
        <is>
          <t>Low air loss mattress</t>
        </is>
      </c>
      <c r="D304" t="n">
        <v>1</v>
      </c>
      <c r="E304" s="2" t="n"/>
      <c r="G304" s="2" t="inlineStr"/>
      <c r="I304" s="2" t="inlineStr"/>
      <c r="K304" s="2" t="inlineStr"/>
      <c r="L304">
        <f>IF(M304=G304,F304,IF(M304=I304,H304,J304))</f>
        <v/>
      </c>
      <c r="M304" s="2">
        <f>MIN(G304,I304,K304)</f>
        <v/>
      </c>
      <c r="N304" s="2">
        <f>D304*M304</f>
        <v/>
      </c>
      <c r="O304" s="2">
        <f>IF(ISBLANK(E304),0,D304*E304)</f>
        <v/>
      </c>
      <c r="P304" s="3">
        <f>IF(O304=0,0,(O304-N304)/O304)</f>
        <v/>
      </c>
      <c r="Q304" t="n">
        <v>40</v>
      </c>
      <c r="R304" t="inlineStr">
        <is>
          <t>LAUNCH_INVENTORY</t>
        </is>
      </c>
      <c r="S304" t="inlineStr"/>
    </row>
    <row r="305">
      <c r="A305" t="inlineStr">
        <is>
          <t>E0652</t>
        </is>
      </c>
      <c r="B305" t="inlineStr">
        <is>
          <t>DM18</t>
        </is>
      </c>
      <c r="C305" t="inlineStr">
        <is>
          <t>Pneumatic compression pump - segmental home</t>
        </is>
      </c>
      <c r="D305" t="n">
        <v>1</v>
      </c>
      <c r="E305" s="2" t="n">
        <v>7027.67</v>
      </c>
      <c r="G305" s="2" t="inlineStr"/>
      <c r="I305" s="2" t="inlineStr"/>
      <c r="K305" s="2" t="inlineStr"/>
      <c r="L305">
        <f>IF(M305=G305,F305,IF(M305=I305,H305,J305))</f>
        <v/>
      </c>
      <c r="M305" s="2">
        <f>MIN(G305,I305,K305)</f>
        <v/>
      </c>
      <c r="N305" s="2">
        <f>D305*M305</f>
        <v/>
      </c>
      <c r="O305" s="2">
        <f>IF(ISBLANK(E305),0,D305*E305)</f>
        <v/>
      </c>
      <c r="P305" s="3">
        <f>IF(O305=0,0,(O305-N305)/O305)</f>
        <v/>
      </c>
      <c r="Q305" t="n">
        <v>40</v>
      </c>
      <c r="R305" t="inlineStr">
        <is>
          <t>LAUNCH_INVENTORY</t>
        </is>
      </c>
      <c r="S305" t="inlineStr"/>
    </row>
    <row r="306">
      <c r="A306" t="inlineStr">
        <is>
          <t>E0651</t>
        </is>
      </c>
      <c r="B306" t="inlineStr">
        <is>
          <t>DM18</t>
        </is>
      </c>
      <c r="C306" t="inlineStr">
        <is>
          <t>Pneumatic compression pump - non-segmental home</t>
        </is>
      </c>
      <c r="D306" t="n">
        <v>1</v>
      </c>
      <c r="E306" s="2" t="n">
        <v>1090.71</v>
      </c>
      <c r="G306" s="2" t="inlineStr"/>
      <c r="I306" s="2" t="inlineStr"/>
      <c r="K306" s="2" t="inlineStr"/>
      <c r="L306">
        <f>IF(M306=G306,F306,IF(M306=I306,H306,J306))</f>
        <v/>
      </c>
      <c r="M306" s="2">
        <f>MIN(G306,I306,K306)</f>
        <v/>
      </c>
      <c r="N306" s="2">
        <f>D306*M306</f>
        <v/>
      </c>
      <c r="O306" s="2">
        <f>IF(ISBLANK(E306),0,D306*E306)</f>
        <v/>
      </c>
      <c r="P306" s="3">
        <f>IF(O306=0,0,(O306-N306)/O306)</f>
        <v/>
      </c>
      <c r="Q306" t="n">
        <v>40</v>
      </c>
      <c r="R306" t="inlineStr">
        <is>
          <t>LAUNCH_INVENTORY</t>
        </is>
      </c>
      <c r="S306" t="inlineStr"/>
    </row>
    <row r="307">
      <c r="A307" t="inlineStr">
        <is>
          <t>E0197</t>
        </is>
      </c>
      <c r="B307" t="inlineStr">
        <is>
          <t>DM20</t>
        </is>
      </c>
      <c r="C307" t="inlineStr">
        <is>
          <t>Air pressure pad - standard mattress</t>
        </is>
      </c>
      <c r="D307" t="n">
        <v>4</v>
      </c>
      <c r="E307" s="2" t="n"/>
      <c r="G307" s="2" t="inlineStr"/>
      <c r="I307" s="2" t="inlineStr"/>
      <c r="K307" s="2" t="inlineStr"/>
      <c r="L307">
        <f>IF(M307=G307,F307,IF(M307=I307,H307,J307))</f>
        <v/>
      </c>
      <c r="M307" s="2">
        <f>MIN(G307,I307,K307)</f>
        <v/>
      </c>
      <c r="N307" s="2">
        <f>D307*M307</f>
        <v/>
      </c>
      <c r="O307" s="2">
        <f>IF(ISBLANK(E307),0,D307*E307)</f>
        <v/>
      </c>
      <c r="P307" s="3">
        <f>IF(O307=0,0,(O307-N307)/O307)</f>
        <v/>
      </c>
      <c r="Q307" t="n">
        <v>40</v>
      </c>
      <c r="R307" t="inlineStr">
        <is>
          <t>LAUNCH_INVENTORY</t>
        </is>
      </c>
      <c r="S307" t="inlineStr"/>
    </row>
    <row r="308">
      <c r="A308" t="inlineStr">
        <is>
          <t>E0186</t>
        </is>
      </c>
      <c r="B308" t="inlineStr">
        <is>
          <t>DM20</t>
        </is>
      </c>
      <c r="C308" t="inlineStr">
        <is>
          <t>Air pressure mattress</t>
        </is>
      </c>
      <c r="D308" t="n">
        <v>2</v>
      </c>
      <c r="E308" s="2" t="n"/>
      <c r="G308" s="2" t="inlineStr"/>
      <c r="I308" s="2" t="inlineStr"/>
      <c r="K308" s="2" t="inlineStr"/>
      <c r="L308">
        <f>IF(M308=G308,F308,IF(M308=I308,H308,J308))</f>
        <v/>
      </c>
      <c r="M308" s="2">
        <f>MIN(G308,I308,K308)</f>
        <v/>
      </c>
      <c r="N308" s="2">
        <f>D308*M308</f>
        <v/>
      </c>
      <c r="O308" s="2">
        <f>IF(ISBLANK(E308),0,D308*E308)</f>
        <v/>
      </c>
      <c r="P308" s="3">
        <f>IF(O308=0,0,(O308-N308)/O308)</f>
        <v/>
      </c>
      <c r="Q308" t="n">
        <v>40</v>
      </c>
      <c r="R308" t="inlineStr">
        <is>
          <t>LAUNCH_INVENTORY</t>
        </is>
      </c>
      <c r="S308" t="inlineStr"/>
    </row>
    <row r="309">
      <c r="A309" t="inlineStr">
        <is>
          <t>E0196</t>
        </is>
      </c>
      <c r="B309" t="inlineStr">
        <is>
          <t>DM20</t>
        </is>
      </c>
      <c r="C309" t="inlineStr">
        <is>
          <t>Gel pressure pad - standard mattress</t>
        </is>
      </c>
      <c r="D309" t="n">
        <v>3</v>
      </c>
      <c r="E309" s="2" t="n"/>
      <c r="G309" s="2" t="inlineStr"/>
      <c r="I309" s="2" t="inlineStr"/>
      <c r="K309" s="2" t="inlineStr"/>
      <c r="L309">
        <f>IF(M309=G309,F309,IF(M309=I309,H309,J309))</f>
        <v/>
      </c>
      <c r="M309" s="2">
        <f>MIN(G309,I309,K309)</f>
        <v/>
      </c>
      <c r="N309" s="2">
        <f>D309*M309</f>
        <v/>
      </c>
      <c r="O309" s="2">
        <f>IF(ISBLANK(E309),0,D309*E309)</f>
        <v/>
      </c>
      <c r="P309" s="3">
        <f>IF(O309=0,0,(O309-N309)/O309)</f>
        <v/>
      </c>
      <c r="Q309" t="n">
        <v>40</v>
      </c>
      <c r="R309" t="inlineStr">
        <is>
          <t>LAUNCH_INVENTORY</t>
        </is>
      </c>
      <c r="S309" t="inlineStr"/>
    </row>
    <row r="310">
      <c r="A310" t="inlineStr">
        <is>
          <t>E0199</t>
        </is>
      </c>
      <c r="B310" t="inlineStr">
        <is>
          <t>DM20</t>
        </is>
      </c>
      <c r="C310" t="inlineStr">
        <is>
          <t>Dry pressure pad - standard mattress width</t>
        </is>
      </c>
      <c r="D310" t="n">
        <v>4</v>
      </c>
      <c r="E310" s="2" t="n">
        <v>33.72</v>
      </c>
      <c r="G310" s="2" t="inlineStr"/>
      <c r="I310" s="2" t="inlineStr"/>
      <c r="K310" s="2" t="inlineStr"/>
      <c r="L310">
        <f>IF(M310=G310,F310,IF(M310=I310,H310,J310))</f>
        <v/>
      </c>
      <c r="M310" s="2">
        <f>MIN(G310,I310,K310)</f>
        <v/>
      </c>
      <c r="N310" s="2">
        <f>D310*M310</f>
        <v/>
      </c>
      <c r="O310" s="2">
        <f>IF(ISBLANK(E310),0,D310*E310)</f>
        <v/>
      </c>
      <c r="P310" s="3">
        <f>IF(O310=0,0,(O310-N310)/O310)</f>
        <v/>
      </c>
      <c r="Q310" t="n">
        <v>40</v>
      </c>
      <c r="R310" t="inlineStr">
        <is>
          <t>LAUNCH_INVENTORY</t>
        </is>
      </c>
      <c r="S310" t="inlineStr"/>
    </row>
    <row r="311">
      <c r="A311" t="inlineStr">
        <is>
          <t>E0221</t>
        </is>
      </c>
      <c r="B311" t="inlineStr">
        <is>
          <t>DM11</t>
        </is>
      </c>
      <c r="C311" t="inlineStr">
        <is>
          <t>Infrared heating pad system</t>
        </is>
      </c>
      <c r="D311" t="n">
        <v>3</v>
      </c>
      <c r="E311" s="2" t="n"/>
      <c r="G311" s="2" t="inlineStr"/>
      <c r="I311" s="2" t="inlineStr"/>
      <c r="K311" s="2" t="inlineStr"/>
      <c r="L311">
        <f>IF(M311=G311,F311,IF(M311=I311,H311,J311))</f>
        <v/>
      </c>
      <c r="M311" s="2">
        <f>MIN(G311,I311,K311)</f>
        <v/>
      </c>
      <c r="N311" s="2">
        <f>D311*M311</f>
        <v/>
      </c>
      <c r="O311" s="2">
        <f>IF(ISBLANK(E311),0,D311*E311)</f>
        <v/>
      </c>
      <c r="P311" s="3">
        <f>IF(O311=0,0,(O311-N311)/O311)</f>
        <v/>
      </c>
      <c r="Q311" t="n">
        <v>40</v>
      </c>
      <c r="R311" t="inlineStr">
        <is>
          <t>LAUNCH_INVENTORY</t>
        </is>
      </c>
      <c r="S311" t="inlineStr"/>
    </row>
    <row r="312">
      <c r="A312" t="inlineStr">
        <is>
          <t>A4639</t>
        </is>
      </c>
      <c r="B312" t="inlineStr">
        <is>
          <t>DM11</t>
        </is>
      </c>
      <c r="C312" t="inlineStr">
        <is>
          <t>Infrared pad replacement</t>
        </is>
      </c>
      <c r="D312" t="n">
        <v>10</v>
      </c>
      <c r="E312" s="2" t="n"/>
      <c r="G312" s="2" t="inlineStr"/>
      <c r="I312" s="2" t="inlineStr"/>
      <c r="K312" s="2" t="inlineStr"/>
      <c r="L312">
        <f>IF(M312=G312,F312,IF(M312=I312,H312,J312))</f>
        <v/>
      </c>
      <c r="M312" s="2">
        <f>MIN(G312,I312,K312)</f>
        <v/>
      </c>
      <c r="N312" s="2">
        <f>D312*M312</f>
        <v/>
      </c>
      <c r="O312" s="2">
        <f>IF(ISBLANK(E312),0,D312*E312)</f>
        <v/>
      </c>
      <c r="P312" s="3">
        <f>IF(O312=0,0,(O312-N312)/O312)</f>
        <v/>
      </c>
      <c r="Q312" t="n">
        <v>40</v>
      </c>
      <c r="R312" t="inlineStr">
        <is>
          <t>LAUNCH_INVENTORY</t>
        </is>
      </c>
      <c r="S312" t="inlineStr"/>
    </row>
    <row r="313">
      <c r="A313" t="inlineStr">
        <is>
          <t>E0236</t>
        </is>
      </c>
      <c r="B313" t="inlineStr">
        <is>
          <t>DM08</t>
        </is>
      </c>
      <c r="C313" t="inlineStr">
        <is>
          <t>Pump for water circulating pad</t>
        </is>
      </c>
      <c r="D313" t="n">
        <v>10</v>
      </c>
      <c r="E313" s="2" t="n"/>
      <c r="G313" s="2" t="inlineStr"/>
      <c r="I313" s="2" t="inlineStr"/>
      <c r="K313" s="2" t="inlineStr"/>
      <c r="L313">
        <f>IF(M313=G313,F313,IF(M313=I313,H313,J313))</f>
        <v/>
      </c>
      <c r="M313" s="2">
        <f>MIN(G313,I313,K313)</f>
        <v/>
      </c>
      <c r="N313" s="2">
        <f>D313*M313</f>
        <v/>
      </c>
      <c r="O313" s="2">
        <f>IF(ISBLANK(E313),0,D313*E313)</f>
        <v/>
      </c>
      <c r="P313" s="3">
        <f>IF(O313=0,0,(O313-N313)/O313)</f>
        <v/>
      </c>
      <c r="Q313" t="n">
        <v>40</v>
      </c>
      <c r="R313" t="inlineStr">
        <is>
          <t>LAUNCH_INVENTORY</t>
        </is>
      </c>
      <c r="S313" t="inlineStr"/>
    </row>
    <row r="314">
      <c r="A314" t="inlineStr">
        <is>
          <t>E0230</t>
        </is>
      </c>
      <c r="B314" t="inlineStr">
        <is>
          <t>DM08</t>
        </is>
      </c>
      <c r="C314" t="inlineStr">
        <is>
          <t>Ice cap or collar</t>
        </is>
      </c>
      <c r="D314" t="n">
        <v>10</v>
      </c>
      <c r="E314" s="2" t="n"/>
      <c r="G314" s="2" t="inlineStr"/>
      <c r="I314" s="2" t="inlineStr"/>
      <c r="K314" s="2" t="inlineStr"/>
      <c r="L314">
        <f>IF(M314=G314,F314,IF(M314=I314,H314,J314))</f>
        <v/>
      </c>
      <c r="M314" s="2">
        <f>MIN(G314,I314,K314)</f>
        <v/>
      </c>
      <c r="N314" s="2">
        <f>D314*M314</f>
        <v/>
      </c>
      <c r="O314" s="2">
        <f>IF(ISBLANK(E314),0,D314*E314)</f>
        <v/>
      </c>
      <c r="P314" s="3">
        <f>IF(O314=0,0,(O314-N314)/O314)</f>
        <v/>
      </c>
      <c r="Q314" t="n">
        <v>40</v>
      </c>
      <c r="R314" t="inlineStr">
        <is>
          <t>LAUNCH_INVENTORY</t>
        </is>
      </c>
      <c r="S314" t="inlineStr"/>
    </row>
    <row r="315">
      <c r="A315" t="inlineStr">
        <is>
          <t>E0235</t>
        </is>
      </c>
      <c r="B315" t="inlineStr">
        <is>
          <t>DM08</t>
        </is>
      </c>
      <c r="C315" t="inlineStr">
        <is>
          <t>Paraffin bath unit</t>
        </is>
      </c>
      <c r="D315" t="n">
        <v>1</v>
      </c>
      <c r="E315" s="2" t="n"/>
      <c r="G315" s="2" t="inlineStr"/>
      <c r="I315" s="2" t="inlineStr"/>
      <c r="K315" s="2" t="inlineStr"/>
      <c r="L315">
        <f>IF(M315=G315,F315,IF(M315=I315,H315,J315))</f>
        <v/>
      </c>
      <c r="M315" s="2">
        <f>MIN(G315,I315,K315)</f>
        <v/>
      </c>
      <c r="N315" s="2">
        <f>D315*M315</f>
        <v/>
      </c>
      <c r="O315" s="2">
        <f>IF(ISBLANK(E315),0,D315*E315)</f>
        <v/>
      </c>
      <c r="P315" s="3">
        <f>IF(O315=0,0,(O315-N315)/O315)</f>
        <v/>
      </c>
      <c r="Q315" t="n">
        <v>40</v>
      </c>
      <c r="R315" t="inlineStr">
        <is>
          <t>LAUNCH_INVENTORY</t>
        </is>
      </c>
      <c r="S315" t="inlineStr"/>
    </row>
    <row r="316">
      <c r="A316" t="inlineStr">
        <is>
          <t>E0239</t>
        </is>
      </c>
      <c r="B316" t="inlineStr">
        <is>
          <t>DM08</t>
        </is>
      </c>
      <c r="C316" t="inlineStr">
        <is>
          <t>Hydrocollator unit - portable</t>
        </is>
      </c>
      <c r="D316" t="n">
        <v>15</v>
      </c>
      <c r="E316" s="2" t="n">
        <v>534.23</v>
      </c>
      <c r="G316" s="2" t="inlineStr"/>
      <c r="I316" s="2" t="inlineStr"/>
      <c r="K316" s="2" t="inlineStr"/>
      <c r="L316">
        <f>IF(M316=G316,F316,IF(M316=I316,H316,J316))</f>
        <v/>
      </c>
      <c r="M316" s="2">
        <f>MIN(G316,I316,K316)</f>
        <v/>
      </c>
      <c r="N316" s="2">
        <f>D316*M316</f>
        <v/>
      </c>
      <c r="O316" s="2">
        <f>IF(ISBLANK(E316),0,D316*E316)</f>
        <v/>
      </c>
      <c r="P316" s="3">
        <f>IF(O316=0,0,(O316-N316)/O316)</f>
        <v/>
      </c>
      <c r="Q316" t="n">
        <v>40</v>
      </c>
      <c r="R316" t="inlineStr">
        <is>
          <t>LAUNCH_INVENTORY</t>
        </is>
      </c>
      <c r="S316" t="inlineStr"/>
    </row>
    <row r="317">
      <c r="A317" t="inlineStr">
        <is>
          <t>E0744</t>
        </is>
      </c>
      <c r="B317" t="inlineStr">
        <is>
          <t>DM16</t>
        </is>
      </c>
      <c r="C317" t="inlineStr">
        <is>
          <t>NMES device - orofacial</t>
        </is>
      </c>
      <c r="D317" t="n">
        <v>2</v>
      </c>
      <c r="E317" s="2" t="n"/>
      <c r="G317" s="2" t="inlineStr"/>
      <c r="I317" s="2" t="inlineStr"/>
      <c r="K317" s="2" t="inlineStr"/>
      <c r="L317">
        <f>IF(M317=G317,F317,IF(M317=I317,H317,J317))</f>
        <v/>
      </c>
      <c r="M317" s="2">
        <f>MIN(G317,I317,K317)</f>
        <v/>
      </c>
      <c r="N317" s="2">
        <f>D317*M317</f>
        <v/>
      </c>
      <c r="O317" s="2">
        <f>IF(ISBLANK(E317),0,D317*E317)</f>
        <v/>
      </c>
      <c r="P317" s="3">
        <f>IF(O317=0,0,(O317-N317)/O317)</f>
        <v/>
      </c>
      <c r="Q317" t="n">
        <v>40</v>
      </c>
      <c r="R317" t="inlineStr">
        <is>
          <t>LAUNCH_INVENTORY</t>
        </is>
      </c>
      <c r="S317" t="inlineStr"/>
    </row>
    <row r="318">
      <c r="A318" t="inlineStr">
        <is>
          <t>E0745</t>
        </is>
      </c>
      <c r="B318" t="inlineStr">
        <is>
          <t>DM16</t>
        </is>
      </c>
      <c r="C318" t="inlineStr">
        <is>
          <t>NMES device - other</t>
        </is>
      </c>
      <c r="D318" t="n">
        <v>1</v>
      </c>
      <c r="E318" s="2" t="n"/>
      <c r="G318" s="2" t="inlineStr"/>
      <c r="I318" s="2" t="inlineStr"/>
      <c r="K318" s="2" t="inlineStr"/>
      <c r="L318">
        <f>IF(M318=G318,F318,IF(M318=I318,H318,J318))</f>
        <v/>
      </c>
      <c r="M318" s="2">
        <f>MIN(G318,I318,K318)</f>
        <v/>
      </c>
      <c r="N318" s="2">
        <f>D318*M318</f>
        <v/>
      </c>
      <c r="O318" s="2">
        <f>IF(ISBLANK(E318),0,D318*E318)</f>
        <v/>
      </c>
      <c r="P318" s="3">
        <f>IF(O318=0,0,(O318-N318)/O318)</f>
        <v/>
      </c>
      <c r="Q318" t="n">
        <v>40</v>
      </c>
      <c r="R318" t="inlineStr">
        <is>
          <t>LAUNCH_INVENTORY</t>
        </is>
      </c>
      <c r="S318" t="inlineStr"/>
    </row>
    <row r="319">
      <c r="A319" t="inlineStr">
        <is>
          <t>E0730</t>
        </is>
      </c>
      <c r="B319" t="inlineStr">
        <is>
          <t>DM22</t>
        </is>
      </c>
      <c r="C319" t="inlineStr">
        <is>
          <t>TENS device - 4 lead</t>
        </is>
      </c>
      <c r="D319" t="n">
        <v>4</v>
      </c>
      <c r="E319" s="2" t="n">
        <v>61.82</v>
      </c>
      <c r="G319" s="2" t="inlineStr"/>
      <c r="I319" s="2" t="inlineStr"/>
      <c r="K319" s="2" t="inlineStr"/>
      <c r="L319">
        <f>IF(M319=G319,F319,IF(M319=I319,H319,J319))</f>
        <v/>
      </c>
      <c r="M319" s="2">
        <f>MIN(G319,I319,K319)</f>
        <v/>
      </c>
      <c r="N319" s="2">
        <f>D319*M319</f>
        <v/>
      </c>
      <c r="O319" s="2">
        <f>IF(ISBLANK(E319),0,D319*E319)</f>
        <v/>
      </c>
      <c r="P319" s="3">
        <f>IF(O319=0,0,(O319-N319)/O319)</f>
        <v/>
      </c>
      <c r="Q319" t="n">
        <v>40</v>
      </c>
      <c r="R319" t="inlineStr">
        <is>
          <t>LAUNCH_INVENTORY</t>
        </is>
      </c>
      <c r="S319" t="inlineStr"/>
    </row>
    <row r="320">
      <c r="A320" t="inlineStr">
        <is>
          <t>A4595</t>
        </is>
      </c>
      <c r="B320" t="inlineStr">
        <is>
          <t>DM22</t>
        </is>
      </c>
      <c r="C320" t="inlineStr">
        <is>
          <t>TENS electrode pads</t>
        </is>
      </c>
      <c r="D320" t="n">
        <v>80</v>
      </c>
      <c r="E320" s="2" t="n"/>
      <c r="G320" s="2" t="inlineStr"/>
      <c r="I320" s="2" t="inlineStr"/>
      <c r="K320" s="2" t="inlineStr"/>
      <c r="L320">
        <f>IF(M320=G320,F320,IF(M320=I320,H320,J320))</f>
        <v/>
      </c>
      <c r="M320" s="2">
        <f>MIN(G320,I320,K320)</f>
        <v/>
      </c>
      <c r="N320" s="2">
        <f>D320*M320</f>
        <v/>
      </c>
      <c r="O320" s="2">
        <f>IF(ISBLANK(E320),0,D320*E320)</f>
        <v/>
      </c>
      <c r="P320" s="3">
        <f>IF(O320=0,0,(O320-N320)/O320)</f>
        <v/>
      </c>
      <c r="Q320" t="n">
        <v>40</v>
      </c>
      <c r="R320" t="inlineStr">
        <is>
          <t>LAUNCH_INVENTORY</t>
        </is>
      </c>
      <c r="S320" t="inlineStr"/>
    </row>
    <row r="321">
      <c r="A321" t="inlineStr">
        <is>
          <t>E1011</t>
        </is>
      </c>
      <c r="B321" t="inlineStr">
        <is>
          <t>M06A</t>
        </is>
      </c>
      <c r="C321" t="inlineStr">
        <is>
          <t>MODIFICATION TO PEDIATRIC SIZE WHEELCHAIR, WIDTH ADJUSTMENT PACKAGE (NOT TO BE DISPENSED WITH INITIAL CHAIR)</t>
        </is>
      </c>
      <c r="D321" t="n">
        <v>2</v>
      </c>
      <c r="E321" s="2" t="n"/>
      <c r="G321" s="2" t="inlineStr"/>
      <c r="I321" s="2" t="inlineStr"/>
      <c r="K321" s="2" t="inlineStr"/>
      <c r="L321">
        <f>IF(M321=G321,F321,IF(M321=I321,H321,J321))</f>
        <v/>
      </c>
      <c r="M321" s="2">
        <f>MIN(G321,I321,K321)</f>
        <v/>
      </c>
      <c r="N321" s="2">
        <f>D321*M321</f>
        <v/>
      </c>
      <c r="O321" s="2">
        <f>IF(ISBLANK(E321),0,D321*E321)</f>
        <v/>
      </c>
      <c r="P321" s="3">
        <f>IF(O321=0,0,(O321-N321)/O321)</f>
        <v/>
      </c>
      <c r="Q321" t="n">
        <v>40</v>
      </c>
      <c r="R321" t="inlineStr">
        <is>
          <t>LAUNCH_INVENTORY</t>
        </is>
      </c>
      <c r="S321" t="inlineStr"/>
    </row>
    <row r="322">
      <c r="A322" t="inlineStr">
        <is>
          <t>E2230</t>
        </is>
      </c>
      <c r="B322" t="inlineStr">
        <is>
          <t>M06A</t>
        </is>
      </c>
      <c r="C322" t="inlineStr">
        <is>
          <t>MANUAL WHEELCHAIR ACCESSORY, MANUAL STANDING SYSTEM</t>
        </is>
      </c>
      <c r="D322" t="n">
        <v>2</v>
      </c>
      <c r="E322" s="2" t="n"/>
      <c r="G322" s="2" t="inlineStr"/>
      <c r="I322" s="2" t="inlineStr"/>
      <c r="K322" s="2" t="inlineStr"/>
      <c r="L322">
        <f>IF(M322=G322,F322,IF(M322=I322,H322,J322))</f>
        <v/>
      </c>
      <c r="M322" s="2">
        <f>MIN(G322,I322,K322)</f>
        <v/>
      </c>
      <c r="N322" s="2">
        <f>D322*M322</f>
        <v/>
      </c>
      <c r="O322" s="2">
        <f>IF(ISBLANK(E322),0,D322*E322)</f>
        <v/>
      </c>
      <c r="P322" s="3">
        <f>IF(O322=0,0,(O322-N322)/O322)</f>
        <v/>
      </c>
      <c r="Q322" t="n">
        <v>40</v>
      </c>
      <c r="R322" t="inlineStr">
        <is>
          <t>LAUNCH_INVENTORY</t>
        </is>
      </c>
      <c r="S322" t="inlineStr"/>
    </row>
    <row r="323">
      <c r="A323" t="inlineStr">
        <is>
          <t>A6561</t>
        </is>
      </c>
      <c r="B323" t="inlineStr">
        <is>
          <t>S04</t>
        </is>
      </c>
      <c r="C323" t="inlineStr">
        <is>
          <t>GRADIENT COMPRESSION STOCKING, FULL LENGTH/CHAP STYLE, 40 MMHG OR GREATER, CUSTOM, EACH</t>
        </is>
      </c>
      <c r="D323" t="n">
        <v>2</v>
      </c>
      <c r="E323" s="2" t="n"/>
      <c r="G323" s="2" t="inlineStr"/>
      <c r="I323" s="2" t="inlineStr"/>
      <c r="K323" s="2" t="inlineStr"/>
      <c r="L323">
        <f>IF(M323=G323,F323,IF(M323=I323,H323,J323))</f>
        <v/>
      </c>
      <c r="M323" s="2">
        <f>MIN(G323,I323,K323)</f>
        <v/>
      </c>
      <c r="N323" s="2">
        <f>D323*M323</f>
        <v/>
      </c>
      <c r="O323" s="2">
        <f>IF(ISBLANK(E323),0,D323*E323)</f>
        <v/>
      </c>
      <c r="P323" s="3">
        <f>IF(O323=0,0,(O323-N323)/O323)</f>
        <v/>
      </c>
      <c r="Q323" t="n">
        <v>40</v>
      </c>
      <c r="R323" t="inlineStr">
        <is>
          <t>LAUNCH_INVENTORY</t>
        </is>
      </c>
      <c r="S323" t="inlineStr"/>
    </row>
    <row r="324">
      <c r="A324" t="inlineStr">
        <is>
          <t>A6213</t>
        </is>
      </c>
      <c r="B324" t="inlineStr">
        <is>
          <t>S01</t>
        </is>
      </c>
      <c r="C324" t="inlineStr">
        <is>
          <t>FOAM DRESSING, WOUND COVER, STERILE, PAD SIZE MORE THAN 16 SQ. IN. BUT LESS THAN OR EQUAL TO 48 SQ. IN., WITH ANY SIZE ADHESIVE BORDER, EACH DRESSING</t>
        </is>
      </c>
      <c r="D324" t="n">
        <v>2</v>
      </c>
      <c r="E324" s="2" t="n"/>
      <c r="G324" s="2" t="inlineStr"/>
      <c r="I324" s="2" t="inlineStr"/>
      <c r="K324" s="2" t="inlineStr"/>
      <c r="L324">
        <f>IF(M324=G324,F324,IF(M324=I324,H324,J324))</f>
        <v/>
      </c>
      <c r="M324" s="2">
        <f>MIN(G324,I324,K324)</f>
        <v/>
      </c>
      <c r="N324" s="2">
        <f>D324*M324</f>
        <v/>
      </c>
      <c r="O324" s="2">
        <f>IF(ISBLANK(E324),0,D324*E324)</f>
        <v/>
      </c>
      <c r="P324" s="3">
        <f>IF(O324=0,0,(O324-N324)/O324)</f>
        <v/>
      </c>
      <c r="Q324" t="n">
        <v>40</v>
      </c>
      <c r="R324" t="inlineStr">
        <is>
          <t>LAUNCH_INVENTORY</t>
        </is>
      </c>
      <c r="S324" t="inlineStr"/>
    </row>
    <row r="325">
      <c r="A325" t="inlineStr">
        <is>
          <t>A6228</t>
        </is>
      </c>
      <c r="B325" t="inlineStr">
        <is>
          <t>S01</t>
        </is>
      </c>
      <c r="C325" t="inlineStr">
        <is>
          <t>GAUZE, IMPREGNATED, WATER OR NORMAL SALINE, STERILE, PAD SIZE 16 SQ. IN. OR LESS, WITHOUT ADHESIVE BORDER, EACH DRESSING</t>
        </is>
      </c>
      <c r="D325" t="n">
        <v>2</v>
      </c>
      <c r="E325" s="2" t="n"/>
      <c r="G325" s="2" t="inlineStr"/>
      <c r="I325" s="2" t="inlineStr"/>
      <c r="K325" s="2" t="inlineStr"/>
      <c r="L325">
        <f>IF(M325=G325,F325,IF(M325=I325,H325,J325))</f>
        <v/>
      </c>
      <c r="M325" s="2">
        <f>MIN(G325,I325,K325)</f>
        <v/>
      </c>
      <c r="N325" s="2">
        <f>D325*M325</f>
        <v/>
      </c>
      <c r="O325" s="2">
        <f>IF(ISBLANK(E325),0,D325*E325)</f>
        <v/>
      </c>
      <c r="P325" s="3">
        <f>IF(O325=0,0,(O325-N325)/O325)</f>
        <v/>
      </c>
      <c r="Q325" t="n">
        <v>40</v>
      </c>
      <c r="R325" t="inlineStr">
        <is>
          <t>LAUNCH_INVENTORY</t>
        </is>
      </c>
      <c r="S325" t="inlineStr"/>
    </row>
    <row r="326">
      <c r="A326" t="inlineStr">
        <is>
          <t>A6230</t>
        </is>
      </c>
      <c r="B326" t="inlineStr">
        <is>
          <t>S01</t>
        </is>
      </c>
      <c r="C326" t="inlineStr">
        <is>
          <t>GAUZE, IMPREGNATED, WATER OR NORMAL SALINE, STERILE, PAD SIZE MORE THAN 48 SQ. IN., WITHOUT ADHESIVE BORDER, EACH DRESSING</t>
        </is>
      </c>
      <c r="D326" t="n">
        <v>2</v>
      </c>
      <c r="E326" s="2" t="n"/>
      <c r="G326" s="2" t="inlineStr"/>
      <c r="I326" s="2" t="inlineStr"/>
      <c r="K326" s="2" t="inlineStr"/>
      <c r="L326">
        <f>IF(M326=G326,F326,IF(M326=I326,H326,J326))</f>
        <v/>
      </c>
      <c r="M326" s="2">
        <f>MIN(G326,I326,K326)</f>
        <v/>
      </c>
      <c r="N326" s="2">
        <f>D326*M326</f>
        <v/>
      </c>
      <c r="O326" s="2">
        <f>IF(ISBLANK(E326),0,D326*E326)</f>
        <v/>
      </c>
      <c r="P326" s="3">
        <f>IF(O326=0,0,(O326-N326)/O326)</f>
        <v/>
      </c>
      <c r="Q326" t="n">
        <v>40</v>
      </c>
      <c r="R326" t="inlineStr">
        <is>
          <t>LAUNCH_INVENTORY</t>
        </is>
      </c>
      <c r="S326" t="inlineStr"/>
    </row>
    <row r="327">
      <c r="A327" t="inlineStr">
        <is>
          <t>A4557</t>
        </is>
      </c>
      <c r="B327" t="inlineStr">
        <is>
          <t>DM22</t>
        </is>
      </c>
      <c r="C327" t="inlineStr">
        <is>
          <t>TENS lead wires</t>
        </is>
      </c>
      <c r="D327" t="n">
        <v>15</v>
      </c>
      <c r="E327" s="2" t="n"/>
      <c r="G327" s="2" t="inlineStr"/>
      <c r="I327" s="2" t="inlineStr"/>
      <c r="K327" s="2" t="inlineStr"/>
      <c r="L327">
        <f>IF(M327=G327,F327,IF(M327=I327,H327,J327))</f>
        <v/>
      </c>
      <c r="M327" s="2">
        <f>MIN(G327,I327,K327)</f>
        <v/>
      </c>
      <c r="N327" s="2">
        <f>D327*M327</f>
        <v/>
      </c>
      <c r="O327" s="2">
        <f>IF(ISBLANK(E327),0,D327*E327)</f>
        <v/>
      </c>
      <c r="P327" s="3">
        <f>IF(O327=0,0,(O327-N327)/O327)</f>
        <v/>
      </c>
      <c r="Q327" t="n">
        <v>40</v>
      </c>
      <c r="R327" t="inlineStr">
        <is>
          <t>LAUNCH_INVENTORY</t>
        </is>
      </c>
      <c r="S327" t="inlineStr"/>
    </row>
    <row r="328">
      <c r="A328" t="inlineStr">
        <is>
          <t>E0731</t>
        </is>
      </c>
      <c r="B328" t="inlineStr">
        <is>
          <t>DM16</t>
        </is>
      </c>
      <c r="C328" t="inlineStr">
        <is>
          <t>NMES device - form fitting conduction garment</t>
        </is>
      </c>
      <c r="D328" t="n">
        <v>2</v>
      </c>
      <c r="E328" s="2" t="n">
        <v>85.63</v>
      </c>
      <c r="G328" s="2" t="inlineStr"/>
      <c r="I328" s="2" t="inlineStr"/>
      <c r="K328" s="2" t="inlineStr"/>
      <c r="L328">
        <f>IF(M328=G328,F328,IF(M328=I328,H328,J328))</f>
        <v/>
      </c>
      <c r="M328" s="2">
        <f>MIN(G328,I328,K328)</f>
        <v/>
      </c>
      <c r="N328" s="2">
        <f>D328*M328</f>
        <v/>
      </c>
      <c r="O328" s="2">
        <f>IF(ISBLANK(E328),0,D328*E328)</f>
        <v/>
      </c>
      <c r="P328" s="3">
        <f>IF(O328=0,0,(O328-N328)/O328)</f>
        <v/>
      </c>
      <c r="Q328" t="n">
        <v>40</v>
      </c>
      <c r="R328" t="inlineStr">
        <is>
          <t>LAUNCH_INVENTORY</t>
        </is>
      </c>
      <c r="S328" t="inlineStr"/>
    </row>
    <row r="329">
      <c r="A329" t="inlineStr">
        <is>
          <t>E0671</t>
        </is>
      </c>
      <c r="B329" t="inlineStr">
        <is>
          <t>DM18</t>
        </is>
      </c>
      <c r="C329" t="inlineStr">
        <is>
          <t>Pneumatic compression sleeve - segmental arm</t>
        </is>
      </c>
      <c r="D329" t="n">
        <v>3</v>
      </c>
      <c r="E329" s="2" t="n">
        <v>580.33</v>
      </c>
      <c r="G329" s="2" t="inlineStr"/>
      <c r="I329" s="2" t="inlineStr"/>
      <c r="K329" s="2" t="inlineStr"/>
      <c r="L329">
        <f>IF(M329=G329,F329,IF(M329=I329,H329,J329))</f>
        <v/>
      </c>
      <c r="M329" s="2">
        <f>MIN(G329,I329,K329)</f>
        <v/>
      </c>
      <c r="N329" s="2">
        <f>D329*M329</f>
        <v/>
      </c>
      <c r="O329" s="2">
        <f>IF(ISBLANK(E329),0,D329*E329)</f>
        <v/>
      </c>
      <c r="P329" s="3">
        <f>IF(O329=0,0,(O329-N329)/O329)</f>
        <v/>
      </c>
      <c r="Q329" t="n">
        <v>40</v>
      </c>
      <c r="R329" t="inlineStr">
        <is>
          <t>LAUNCH_INVENTORY</t>
        </is>
      </c>
      <c r="S329" t="inlineStr"/>
    </row>
    <row r="330">
      <c r="A330" t="inlineStr">
        <is>
          <t>E0672</t>
        </is>
      </c>
      <c r="B330" t="inlineStr">
        <is>
          <t>DM18</t>
        </is>
      </c>
      <c r="C330" t="inlineStr">
        <is>
          <t>Pneumatic compression sleeve - segmental leg</t>
        </is>
      </c>
      <c r="D330" t="n">
        <v>5</v>
      </c>
      <c r="E330" s="2" t="n">
        <v>450.9</v>
      </c>
      <c r="G330" s="2" t="inlineStr"/>
      <c r="I330" s="2" t="inlineStr"/>
      <c r="K330" s="2" t="inlineStr"/>
      <c r="L330">
        <f>IF(M330=G330,F330,IF(M330=I330,H330,J330))</f>
        <v/>
      </c>
      <c r="M330" s="2">
        <f>MIN(G330,I330,K330)</f>
        <v/>
      </c>
      <c r="N330" s="2">
        <f>D330*M330</f>
        <v/>
      </c>
      <c r="O330" s="2">
        <f>IF(ISBLANK(E330),0,D330*E330)</f>
        <v/>
      </c>
      <c r="P330" s="3">
        <f>IF(O330=0,0,(O330-N330)/O330)</f>
        <v/>
      </c>
      <c r="Q330" t="n">
        <v>40</v>
      </c>
      <c r="R330" t="inlineStr">
        <is>
          <t>LAUNCH_INVENTORY</t>
        </is>
      </c>
      <c r="S330" t="inlineStr"/>
    </row>
    <row r="331">
      <c r="A331" t="inlineStr">
        <is>
          <t>K0108</t>
        </is>
      </c>
      <c r="B331" t="inlineStr">
        <is>
          <t>M06A</t>
        </is>
      </c>
      <c r="C331" t="inlineStr">
        <is>
          <t>WHEELCHAIR COMPONENT OR ACCESSORY, NOT OTHERWISE SPECIFIED</t>
        </is>
      </c>
      <c r="D331" t="n">
        <v>2</v>
      </c>
      <c r="E331" s="2" t="n"/>
      <c r="G331" s="2" t="inlineStr"/>
      <c r="I331" s="2" t="inlineStr"/>
      <c r="K331" s="2" t="inlineStr"/>
      <c r="L331">
        <f>IF(M331=G331,F331,IF(M331=I331,H331,J331))</f>
        <v/>
      </c>
      <c r="M331" s="2">
        <f>MIN(G331,I331,K331)</f>
        <v/>
      </c>
      <c r="N331" s="2">
        <f>D331*M331</f>
        <v/>
      </c>
      <c r="O331" s="2">
        <f>IF(ISBLANK(E331),0,D331*E331)</f>
        <v/>
      </c>
      <c r="P331" s="3">
        <f>IF(O331=0,0,(O331-N331)/O331)</f>
        <v/>
      </c>
      <c r="Q331" t="n">
        <v>40</v>
      </c>
      <c r="R331" t="inlineStr">
        <is>
          <t>LAUNCH_INVENTORY</t>
        </is>
      </c>
      <c r="S331" t="inlineStr"/>
    </row>
    <row r="332">
      <c r="A332" t="inlineStr">
        <is>
          <t>E1017</t>
        </is>
      </c>
      <c r="B332" t="inlineStr">
        <is>
          <t>M06A</t>
        </is>
      </c>
      <c r="C332" t="inlineStr">
        <is>
          <t>HEAVY DUTY SHOCK ABSORBER FOR HEAVY DUTY OR EXTRA HEAVY DUTY MANUAL WHEELCHAIR, EACH</t>
        </is>
      </c>
      <c r="D332" t="n">
        <v>2</v>
      </c>
      <c r="E332" s="2" t="n"/>
      <c r="G332" s="2" t="inlineStr"/>
      <c r="I332" s="2" t="inlineStr"/>
      <c r="K332" s="2" t="inlineStr"/>
      <c r="L332">
        <f>IF(M332=G332,F332,IF(M332=I332,H332,J332))</f>
        <v/>
      </c>
      <c r="M332" s="2">
        <f>MIN(G332,I332,K332)</f>
        <v/>
      </c>
      <c r="N332" s="2">
        <f>D332*M332</f>
        <v/>
      </c>
      <c r="O332" s="2">
        <f>IF(ISBLANK(E332),0,D332*E332)</f>
        <v/>
      </c>
      <c r="P332" s="3">
        <f>IF(O332=0,0,(O332-N332)/O332)</f>
        <v/>
      </c>
      <c r="Q332" t="n">
        <v>40</v>
      </c>
      <c r="R332" t="inlineStr">
        <is>
          <t>LAUNCH_INVENTORY</t>
        </is>
      </c>
      <c r="S332" t="inlineStr"/>
    </row>
    <row r="333">
      <c r="A333" t="inlineStr">
        <is>
          <t>E0275</t>
        </is>
      </c>
      <c r="B333" t="inlineStr">
        <is>
          <t>DM02</t>
        </is>
      </c>
      <c r="C333" t="inlineStr">
        <is>
          <t>Bedpan - standard</t>
        </is>
      </c>
      <c r="D333" t="n">
        <v>10</v>
      </c>
      <c r="E333" s="2" t="n">
        <v>15</v>
      </c>
      <c r="G333" s="2" t="inlineStr"/>
      <c r="I333" s="2" t="inlineStr"/>
      <c r="K333" s="2" t="inlineStr"/>
      <c r="L333">
        <f>IF(M333=G333,F333,IF(M333=I333,H333,J333))</f>
        <v/>
      </c>
      <c r="M333" s="2">
        <f>MIN(G333,I333,K333)</f>
        <v/>
      </c>
      <c r="N333" s="2">
        <f>D333*M333</f>
        <v/>
      </c>
      <c r="O333" s="2">
        <f>IF(ISBLANK(E333),0,D333*E333)</f>
        <v/>
      </c>
      <c r="P333" s="3">
        <f>IF(O333=0,0,(O333-N333)/O333)</f>
        <v/>
      </c>
      <c r="Q333" t="n">
        <v>40</v>
      </c>
      <c r="R333" t="inlineStr">
        <is>
          <t>LAUNCH_INVENTORY</t>
        </is>
      </c>
      <c r="S333" t="inlineStr"/>
    </row>
    <row r="334">
      <c r="A334" t="inlineStr">
        <is>
          <t>E0168</t>
        </is>
      </c>
      <c r="B334" t="inlineStr">
        <is>
          <t>DM02</t>
        </is>
      </c>
      <c r="C334" t="inlineStr">
        <is>
          <t>Commode chair - bariatric</t>
        </is>
      </c>
      <c r="D334" t="n">
        <v>2</v>
      </c>
      <c r="E334" s="2" t="n">
        <v>128.66</v>
      </c>
      <c r="G334" s="2" t="inlineStr"/>
      <c r="I334" s="2" t="inlineStr"/>
      <c r="K334" s="2" t="inlineStr"/>
      <c r="L334">
        <f>IF(M334=G334,F334,IF(M334=I334,H334,J334))</f>
        <v/>
      </c>
      <c r="M334" s="2">
        <f>MIN(G334,I334,K334)</f>
        <v/>
      </c>
      <c r="N334" s="2">
        <f>D334*M334</f>
        <v/>
      </c>
      <c r="O334" s="2">
        <f>IF(ISBLANK(E334),0,D334*E334)</f>
        <v/>
      </c>
      <c r="P334" s="3">
        <f>IF(O334=0,0,(O334-N334)/O334)</f>
        <v/>
      </c>
      <c r="Q334" t="n">
        <v>40</v>
      </c>
      <c r="R334" t="inlineStr">
        <is>
          <t>LAUNCH_INVENTORY</t>
        </is>
      </c>
      <c r="S334" t="inlineStr"/>
    </row>
    <row r="335">
      <c r="A335" t="inlineStr">
        <is>
          <t>E0165</t>
        </is>
      </c>
      <c r="B335" t="inlineStr">
        <is>
          <t>DM02</t>
        </is>
      </c>
      <c r="C335" t="inlineStr">
        <is>
          <t>Commode chair - detachable arms</t>
        </is>
      </c>
      <c r="D335" t="n">
        <v>4</v>
      </c>
      <c r="E335" s="2" t="n"/>
      <c r="G335" s="2" t="inlineStr"/>
      <c r="I335" s="2" t="inlineStr"/>
      <c r="K335" s="2" t="inlineStr"/>
      <c r="L335">
        <f>IF(M335=G335,F335,IF(M335=I335,H335,J335))</f>
        <v/>
      </c>
      <c r="M335" s="2">
        <f>MIN(G335,I335,K335)</f>
        <v/>
      </c>
      <c r="N335" s="2">
        <f>D335*M335</f>
        <v/>
      </c>
      <c r="O335" s="2">
        <f>IF(ISBLANK(E335),0,D335*E335)</f>
        <v/>
      </c>
      <c r="P335" s="3">
        <f>IF(O335=0,0,(O335-N335)/O335)</f>
        <v/>
      </c>
      <c r="Q335" t="n">
        <v>40</v>
      </c>
      <c r="R335" t="inlineStr">
        <is>
          <t>LAUNCH_INVENTORY</t>
        </is>
      </c>
      <c r="S335" t="inlineStr"/>
    </row>
    <row r="336">
      <c r="A336" t="inlineStr">
        <is>
          <t>E0163</t>
        </is>
      </c>
      <c r="B336" t="inlineStr">
        <is>
          <t>DM02</t>
        </is>
      </c>
      <c r="C336" t="inlineStr">
        <is>
          <t>Commode chair - fixed arms</t>
        </is>
      </c>
      <c r="D336" t="n">
        <v>4</v>
      </c>
      <c r="E336" s="2" t="n">
        <v>61.43</v>
      </c>
      <c r="G336" s="2" t="inlineStr"/>
      <c r="I336" s="2" t="inlineStr"/>
      <c r="K336" s="2" t="inlineStr"/>
      <c r="L336">
        <f>IF(M336=G336,F336,IF(M336=I336,H336,J336))</f>
        <v/>
      </c>
      <c r="M336" s="2">
        <f>MIN(G336,I336,K336)</f>
        <v/>
      </c>
      <c r="N336" s="2">
        <f>D336*M336</f>
        <v/>
      </c>
      <c r="O336" s="2">
        <f>IF(ISBLANK(E336),0,D336*E336)</f>
        <v/>
      </c>
      <c r="P336" s="3">
        <f>IF(O336=0,0,(O336-N336)/O336)</f>
        <v/>
      </c>
      <c r="Q336" t="n">
        <v>40</v>
      </c>
      <c r="R336" t="inlineStr">
        <is>
          <t>LAUNCH_INVENTORY</t>
        </is>
      </c>
      <c r="S336" t="inlineStr"/>
    </row>
    <row r="337">
      <c r="A337" t="inlineStr">
        <is>
          <t>A6590</t>
        </is>
      </c>
      <c r="B337" t="inlineStr">
        <is>
          <t>DM29</t>
        </is>
      </c>
      <c r="C337" t="inlineStr">
        <is>
          <t>Suction canister</t>
        </is>
      </c>
      <c r="D337" t="n">
        <v>10</v>
      </c>
      <c r="E337" s="2" t="n">
        <v>437.4</v>
      </c>
      <c r="G337" s="2" t="inlineStr"/>
      <c r="I337" s="2" t="inlineStr"/>
      <c r="K337" s="2" t="inlineStr"/>
      <c r="L337">
        <f>IF(M337=G337,F337,IF(M337=I337,H337,J337))</f>
        <v/>
      </c>
      <c r="M337" s="2">
        <f>MIN(G337,I337,K337)</f>
        <v/>
      </c>
      <c r="N337" s="2">
        <f>D337*M337</f>
        <v/>
      </c>
      <c r="O337" s="2">
        <f>IF(ISBLANK(E337),0,D337*E337)</f>
        <v/>
      </c>
      <c r="P337" s="3">
        <f>IF(O337=0,0,(O337-N337)/O337)</f>
        <v/>
      </c>
      <c r="Q337" t="n">
        <v>40</v>
      </c>
      <c r="R337" t="inlineStr">
        <is>
          <t>LAUNCH_INVENTORY</t>
        </is>
      </c>
      <c r="S337" t="inlineStr"/>
    </row>
    <row r="338">
      <c r="A338" t="inlineStr">
        <is>
          <t>A7001</t>
        </is>
      </c>
      <c r="B338" t="inlineStr">
        <is>
          <t>DM29</t>
        </is>
      </c>
      <c r="C338" t="inlineStr">
        <is>
          <t>Suction tubing set</t>
        </is>
      </c>
      <c r="D338" t="n">
        <v>20</v>
      </c>
      <c r="E338" s="2" t="n">
        <v>41.69</v>
      </c>
      <c r="G338" s="2" t="inlineStr"/>
      <c r="I338" s="2" t="inlineStr"/>
      <c r="K338" s="2" t="inlineStr"/>
      <c r="L338">
        <f>IF(M338=G338,F338,IF(M338=I338,H338,J338))</f>
        <v/>
      </c>
      <c r="M338" s="2">
        <f>MIN(G338,I338,K338)</f>
        <v/>
      </c>
      <c r="N338" s="2">
        <f>D338*M338</f>
        <v/>
      </c>
      <c r="O338" s="2">
        <f>IF(ISBLANK(E338),0,D338*E338)</f>
        <v/>
      </c>
      <c r="P338" s="3">
        <f>IF(O338=0,0,(O338-N338)/O338)</f>
        <v/>
      </c>
      <c r="Q338" t="n">
        <v>40</v>
      </c>
      <c r="R338" t="inlineStr">
        <is>
          <t>LAUNCH_INVENTORY</t>
        </is>
      </c>
      <c r="S338" t="inlineStr"/>
    </row>
    <row r="339">
      <c r="A339" t="inlineStr">
        <is>
          <t>A4224</t>
        </is>
      </c>
      <c r="B339" t="inlineStr">
        <is>
          <t>DM25</t>
        </is>
      </c>
      <c r="C339" t="inlineStr">
        <is>
          <t>Insulin infusion set</t>
        </is>
      </c>
      <c r="D339" t="n">
        <v>25</v>
      </c>
      <c r="E339" s="2" t="n">
        <v>25.19</v>
      </c>
      <c r="G339" s="2" t="inlineStr"/>
      <c r="I339" s="2" t="inlineStr"/>
      <c r="K339" s="2" t="inlineStr"/>
      <c r="L339">
        <f>IF(M339=G339,F339,IF(M339=I339,H339,J339))</f>
        <v/>
      </c>
      <c r="M339" s="2">
        <f>MIN(G339,I339,K339)</f>
        <v/>
      </c>
      <c r="N339" s="2">
        <f>D339*M339</f>
        <v/>
      </c>
      <c r="O339" s="2">
        <f>IF(ISBLANK(E339),0,D339*E339)</f>
        <v/>
      </c>
      <c r="P339" s="3">
        <f>IF(O339=0,0,(O339-N339)/O339)</f>
        <v/>
      </c>
      <c r="Q339" t="n">
        <v>40</v>
      </c>
      <c r="R339" t="inlineStr">
        <is>
          <t>LAUNCH_INVENTORY</t>
        </is>
      </c>
      <c r="S339" t="inlineStr"/>
    </row>
    <row r="340">
      <c r="A340" t="inlineStr">
        <is>
          <t>A4225</t>
        </is>
      </c>
      <c r="B340" t="inlineStr">
        <is>
          <t>DM25</t>
        </is>
      </c>
      <c r="C340" t="inlineStr">
        <is>
          <t>Insulin reservoir</t>
        </is>
      </c>
      <c r="D340" t="n">
        <v>20</v>
      </c>
      <c r="E340" s="2" t="n">
        <v>3.38</v>
      </c>
      <c r="G340" s="2" t="inlineStr"/>
      <c r="I340" s="2" t="inlineStr"/>
      <c r="K340" s="2" t="inlineStr"/>
      <c r="L340">
        <f>IF(M340=G340,F340,IF(M340=I340,H340,J340))</f>
        <v/>
      </c>
      <c r="M340" s="2">
        <f>MIN(G340,I340,K340)</f>
        <v/>
      </c>
      <c r="N340" s="2">
        <f>D340*M340</f>
        <v/>
      </c>
      <c r="O340" s="2">
        <f>IF(ISBLANK(E340),0,D340*E340)</f>
        <v/>
      </c>
      <c r="P340" s="3">
        <f>IF(O340=0,0,(O340-N340)/O340)</f>
        <v/>
      </c>
      <c r="Q340" t="n">
        <v>40</v>
      </c>
      <c r="R340" t="inlineStr">
        <is>
          <t>LAUNCH_INVENTORY</t>
        </is>
      </c>
      <c r="S340" t="inlineStr"/>
    </row>
    <row r="341">
      <c r="A341" t="inlineStr">
        <is>
          <t>E0276</t>
        </is>
      </c>
      <c r="B341" t="inlineStr">
        <is>
          <t>DM02</t>
        </is>
      </c>
      <c r="C341" t="inlineStr">
        <is>
          <t>Bedpan - fracture</t>
        </is>
      </c>
      <c r="D341" t="n">
        <v>10</v>
      </c>
      <c r="E341" s="2" t="n">
        <v>13.91</v>
      </c>
      <c r="G341" s="2" t="inlineStr"/>
      <c r="I341" s="2" t="inlineStr"/>
      <c r="K341" s="2" t="inlineStr"/>
      <c r="L341">
        <f>IF(M341=G341,F341,IF(M341=I341,H341,J341))</f>
        <v/>
      </c>
      <c r="M341" s="2">
        <f>MIN(G341,I341,K341)</f>
        <v/>
      </c>
      <c r="N341" s="2">
        <f>D341*M341</f>
        <v/>
      </c>
      <c r="O341" s="2">
        <f>IF(ISBLANK(E341),0,D341*E341)</f>
        <v/>
      </c>
      <c r="P341" s="3">
        <f>IF(O341=0,0,(O341-N341)/O341)</f>
        <v/>
      </c>
      <c r="Q341" t="n">
        <v>40</v>
      </c>
      <c r="R341" t="inlineStr">
        <is>
          <t>LAUNCH_INVENTORY</t>
        </is>
      </c>
      <c r="S341" t="inlineStr"/>
    </row>
    <row r="342">
      <c r="A342" t="inlineStr">
        <is>
          <t>E0160</t>
        </is>
      </c>
      <c r="B342" t="inlineStr">
        <is>
          <t>DM02</t>
        </is>
      </c>
      <c r="C342" t="inlineStr">
        <is>
          <t>Sitz bath - portable</t>
        </is>
      </c>
      <c r="D342" t="n">
        <v>2</v>
      </c>
      <c r="E342" s="2" t="n">
        <v>34.4</v>
      </c>
      <c r="G342" s="2" t="inlineStr"/>
      <c r="I342" s="2" t="inlineStr"/>
      <c r="K342" s="2" t="inlineStr"/>
      <c r="L342">
        <f>IF(M342=G342,F342,IF(M342=I342,H342,J342))</f>
        <v/>
      </c>
      <c r="M342" s="2">
        <f>MIN(G342,I342,K342)</f>
        <v/>
      </c>
      <c r="N342" s="2">
        <f>D342*M342</f>
        <v/>
      </c>
      <c r="O342" s="2">
        <f>IF(ISBLANK(E342),0,D342*E342)</f>
        <v/>
      </c>
      <c r="P342" s="3">
        <f>IF(O342=0,0,(O342-N342)/O342)</f>
        <v/>
      </c>
      <c r="Q342" t="n">
        <v>40</v>
      </c>
      <c r="R342" t="inlineStr">
        <is>
          <t>LAUNCH_INVENTORY</t>
        </is>
      </c>
      <c r="S342" t="inlineStr"/>
    </row>
    <row r="343">
      <c r="A343" t="inlineStr">
        <is>
          <t>E0161</t>
        </is>
      </c>
      <c r="B343" t="inlineStr">
        <is>
          <t>DM02</t>
        </is>
      </c>
      <c r="C343" t="inlineStr">
        <is>
          <t>Sitz bath - with faucet</t>
        </is>
      </c>
      <c r="D343" t="n">
        <v>1</v>
      </c>
      <c r="E343" s="2" t="n">
        <v>28.73</v>
      </c>
      <c r="G343" s="2" t="inlineStr"/>
      <c r="I343" s="2" t="inlineStr"/>
      <c r="K343" s="2" t="inlineStr"/>
      <c r="L343">
        <f>IF(M343=G343,F343,IF(M343=I343,H343,J343))</f>
        <v/>
      </c>
      <c r="M343" s="2">
        <f>MIN(G343,I343,K343)</f>
        <v/>
      </c>
      <c r="N343" s="2">
        <f>D343*M343</f>
        <v/>
      </c>
      <c r="O343" s="2">
        <f>IF(ISBLANK(E343),0,D343*E343)</f>
        <v/>
      </c>
      <c r="P343" s="3">
        <f>IF(O343=0,0,(O343-N343)/O343)</f>
        <v/>
      </c>
      <c r="Q343" t="n">
        <v>40</v>
      </c>
      <c r="R343" t="inlineStr">
        <is>
          <t>LAUNCH_INVENTORY</t>
        </is>
      </c>
      <c r="S343" t="inlineStr"/>
    </row>
    <row r="344">
      <c r="A344" t="inlineStr">
        <is>
          <t>E2001</t>
        </is>
      </c>
      <c r="B344" t="inlineStr">
        <is>
          <t>DM29</t>
        </is>
      </c>
      <c r="C344" t="inlineStr">
        <is>
          <t>Suction pump - portable</t>
        </is>
      </c>
      <c r="D344" t="n">
        <v>3</v>
      </c>
      <c r="E344" s="2" t="n"/>
      <c r="G344" s="2" t="inlineStr"/>
      <c r="I344" s="2" t="inlineStr"/>
      <c r="K344" s="2" t="inlineStr"/>
      <c r="L344">
        <f>IF(M344=G344,F344,IF(M344=I344,H344,J344))</f>
        <v/>
      </c>
      <c r="M344" s="2">
        <f>MIN(G344,I344,K344)</f>
        <v/>
      </c>
      <c r="N344" s="2">
        <f>D344*M344</f>
        <v/>
      </c>
      <c r="O344" s="2">
        <f>IF(ISBLANK(E344),0,D344*E344)</f>
        <v/>
      </c>
      <c r="P344" s="3">
        <f>IF(O344=0,0,(O344-N344)/O344)</f>
        <v/>
      </c>
      <c r="Q344" t="n">
        <v>40</v>
      </c>
      <c r="R344" t="inlineStr">
        <is>
          <t>LAUNCH_INVENTORY</t>
        </is>
      </c>
      <c r="S344" t="inlineStr"/>
    </row>
    <row r="345">
      <c r="A345" t="inlineStr">
        <is>
          <t>K0552</t>
        </is>
      </c>
      <c r="B345" t="inlineStr">
        <is>
          <t>DM25</t>
        </is>
      </c>
      <c r="C345" t="inlineStr">
        <is>
          <t>Insulin pump supplies</t>
        </is>
      </c>
      <c r="D345" t="n">
        <v>15</v>
      </c>
      <c r="E345" s="2" t="n">
        <v>3.38</v>
      </c>
      <c r="G345" s="2" t="inlineStr"/>
      <c r="I345" s="2" t="inlineStr"/>
      <c r="K345" s="2" t="inlineStr"/>
      <c r="L345">
        <f>IF(M345=G345,F345,IF(M345=I345,H345,J345))</f>
        <v/>
      </c>
      <c r="M345" s="2">
        <f>MIN(G345,I345,K345)</f>
        <v/>
      </c>
      <c r="N345" s="2">
        <f>D345*M345</f>
        <v/>
      </c>
      <c r="O345" s="2">
        <f>IF(ISBLANK(E345),0,D345*E345)</f>
        <v/>
      </c>
      <c r="P345" s="3">
        <f>IF(O345=0,0,(O345-N345)/O345)</f>
        <v/>
      </c>
      <c r="Q345" t="n">
        <v>40</v>
      </c>
      <c r="R345" t="inlineStr">
        <is>
          <t>LAUNCH_INVENTORY</t>
        </is>
      </c>
      <c r="S345" t="inlineStr"/>
    </row>
    <row r="346">
      <c r="A346" t="inlineStr">
        <is>
          <t>E0572</t>
        </is>
      </c>
      <c r="B346" t="inlineStr">
        <is>
          <t>R07</t>
        </is>
      </c>
      <c r="C346" t="inlineStr">
        <is>
          <t>Nebulizer - aerosol compressor</t>
        </is>
      </c>
      <c r="D346" t="n">
        <v>3</v>
      </c>
      <c r="E346" s="2" t="n"/>
      <c r="G346" s="2" t="inlineStr"/>
      <c r="I346" s="2" t="inlineStr"/>
      <c r="K346" s="2" t="inlineStr"/>
      <c r="L346">
        <f>IF(M346=G346,F346,IF(M346=I346,H346,J346))</f>
        <v/>
      </c>
      <c r="M346" s="2">
        <f>MIN(G346,I346,K346)</f>
        <v/>
      </c>
      <c r="N346" s="2">
        <f>D346*M346</f>
        <v/>
      </c>
      <c r="O346" s="2">
        <f>IF(ISBLANK(E346),0,D346*E346)</f>
        <v/>
      </c>
      <c r="P346" s="3">
        <f>IF(O346=0,0,(O346-N346)/O346)</f>
        <v/>
      </c>
      <c r="Q346" t="n">
        <v>40</v>
      </c>
      <c r="R346" t="inlineStr">
        <is>
          <t>LAUNCH_INVENTORY</t>
        </is>
      </c>
      <c r="S346" t="inlineStr"/>
    </row>
    <row r="347">
      <c r="A347" t="inlineStr">
        <is>
          <t>A7015</t>
        </is>
      </c>
      <c r="B347" t="inlineStr">
        <is>
          <t>R07</t>
        </is>
      </c>
      <c r="C347" t="inlineStr">
        <is>
          <t>Nebulizer mask - adult</t>
        </is>
      </c>
      <c r="D347" t="n">
        <v>30</v>
      </c>
      <c r="E347" s="2" t="n">
        <v>1.47</v>
      </c>
      <c r="G347" s="2" t="inlineStr"/>
      <c r="I347" s="2" t="inlineStr"/>
      <c r="K347" s="2" t="inlineStr"/>
      <c r="L347">
        <f>IF(M347=G347,F347,IF(M347=I347,H347,J347))</f>
        <v/>
      </c>
      <c r="M347" s="2">
        <f>MIN(G347,I347,K347)</f>
        <v/>
      </c>
      <c r="N347" s="2">
        <f>D347*M347</f>
        <v/>
      </c>
      <c r="O347" s="2">
        <f>IF(ISBLANK(E347),0,D347*E347)</f>
        <v/>
      </c>
      <c r="P347" s="3">
        <f>IF(O347=0,0,(O347-N347)/O347)</f>
        <v/>
      </c>
      <c r="Q347" t="n">
        <v>40</v>
      </c>
      <c r="R347" t="inlineStr">
        <is>
          <t>LAUNCH_INVENTORY</t>
        </is>
      </c>
      <c r="S347" t="inlineStr"/>
    </row>
    <row r="348">
      <c r="A348" t="inlineStr">
        <is>
          <t>A7016</t>
        </is>
      </c>
      <c r="B348" t="inlineStr">
        <is>
          <t>R07</t>
        </is>
      </c>
      <c r="C348" t="inlineStr">
        <is>
          <t>Nebulizer mask - pediatric</t>
        </is>
      </c>
      <c r="D348" t="n">
        <v>15</v>
      </c>
      <c r="E348" s="2" t="n">
        <v>9.130000000000001</v>
      </c>
      <c r="G348" s="2" t="inlineStr"/>
      <c r="I348" s="2" t="inlineStr"/>
      <c r="K348" s="2" t="inlineStr"/>
      <c r="L348">
        <f>IF(M348=G348,F348,IF(M348=I348,H348,J348))</f>
        <v/>
      </c>
      <c r="M348" s="2">
        <f>MIN(G348,I348,K348)</f>
        <v/>
      </c>
      <c r="N348" s="2">
        <f>D348*M348</f>
        <v/>
      </c>
      <c r="O348" s="2">
        <f>IF(ISBLANK(E348),0,D348*E348)</f>
        <v/>
      </c>
      <c r="P348" s="3">
        <f>IF(O348=0,0,(O348-N348)/O348)</f>
        <v/>
      </c>
      <c r="Q348" t="n">
        <v>40</v>
      </c>
      <c r="R348" t="inlineStr">
        <is>
          <t>LAUNCH_INVENTORY</t>
        </is>
      </c>
      <c r="S348" t="inlineStr"/>
    </row>
    <row r="349">
      <c r="A349" t="inlineStr">
        <is>
          <t>L0120</t>
        </is>
      </c>
      <c r="B349" t="inlineStr">
        <is>
          <t>OR03</t>
        </is>
      </c>
      <c r="C349" t="inlineStr">
        <is>
          <t>Cervical collar - soft foam</t>
        </is>
      </c>
      <c r="D349" t="n">
        <v>2</v>
      </c>
      <c r="E349" s="2" t="n">
        <v>29.9</v>
      </c>
      <c r="G349" s="2" t="inlineStr"/>
      <c r="I349" s="2" t="inlineStr"/>
      <c r="K349" s="2" t="inlineStr"/>
      <c r="L349">
        <f>IF(M349=G349,F349,IF(M349=I349,H349,J349))</f>
        <v/>
      </c>
      <c r="M349" s="2">
        <f>MIN(G349,I349,K349)</f>
        <v/>
      </c>
      <c r="N349" s="2">
        <f>D349*M349</f>
        <v/>
      </c>
      <c r="O349" s="2">
        <f>IF(ISBLANK(E349),0,D349*E349)</f>
        <v/>
      </c>
      <c r="P349" s="3">
        <f>IF(O349=0,0,(O349-N349)/O349)</f>
        <v/>
      </c>
      <c r="Q349" t="n">
        <v>40</v>
      </c>
      <c r="R349" t="inlineStr">
        <is>
          <t>LAUNCH_INVENTORY</t>
        </is>
      </c>
      <c r="S349" t="inlineStr"/>
    </row>
    <row r="350">
      <c r="A350" t="inlineStr">
        <is>
          <t>L3702</t>
        </is>
      </c>
      <c r="B350" t="inlineStr">
        <is>
          <t>OR03</t>
        </is>
      </c>
      <c r="C350" t="inlineStr">
        <is>
          <t>Elbow orthosis - without joints</t>
        </is>
      </c>
      <c r="D350" t="n">
        <v>3</v>
      </c>
      <c r="E350" s="2" t="n"/>
      <c r="G350" s="2" t="inlineStr"/>
      <c r="I350" s="2" t="inlineStr"/>
      <c r="K350" s="2" t="inlineStr"/>
      <c r="L350">
        <f>IF(M350=G350,F350,IF(M350=I350,H350,J350))</f>
        <v/>
      </c>
      <c r="M350" s="2">
        <f>MIN(G350,I350,K350)</f>
        <v/>
      </c>
      <c r="N350" s="2">
        <f>D350*M350</f>
        <v/>
      </c>
      <c r="O350" s="2">
        <f>IF(ISBLANK(E350),0,D350*E350)</f>
        <v/>
      </c>
      <c r="P350" s="3">
        <f>IF(O350=0,0,(O350-N350)/O350)</f>
        <v/>
      </c>
      <c r="Q350" t="n">
        <v>40</v>
      </c>
      <c r="R350" t="inlineStr">
        <is>
          <t>LAUNCH_INVENTORY</t>
        </is>
      </c>
      <c r="S350" t="inlineStr"/>
    </row>
    <row r="351">
      <c r="A351" t="inlineStr">
        <is>
          <t>L3916</t>
        </is>
      </c>
      <c r="B351" t="inlineStr">
        <is>
          <t>OR03</t>
        </is>
      </c>
      <c r="C351" t="inlineStr">
        <is>
          <t>Wrist-hand orthosis - includes fingers</t>
        </is>
      </c>
      <c r="D351" t="n">
        <v>4</v>
      </c>
      <c r="E351" s="2" t="n">
        <v>568.9</v>
      </c>
      <c r="G351" s="2" t="inlineStr"/>
      <c r="I351" s="2" t="inlineStr"/>
      <c r="K351" s="2" t="inlineStr"/>
      <c r="L351">
        <f>IF(M351=G351,F351,IF(M351=I351,H351,J351))</f>
        <v/>
      </c>
      <c r="M351" s="2">
        <f>MIN(G351,I351,K351)</f>
        <v/>
      </c>
      <c r="N351" s="2">
        <f>D351*M351</f>
        <v/>
      </c>
      <c r="O351" s="2">
        <f>IF(ISBLANK(E351),0,D351*E351)</f>
        <v/>
      </c>
      <c r="P351" s="3">
        <f>IF(O351=0,0,(O351-N351)/O351)</f>
        <v/>
      </c>
      <c r="Q351" t="n">
        <v>40</v>
      </c>
      <c r="R351" t="inlineStr">
        <is>
          <t>LAUNCH_INVENTORY</t>
        </is>
      </c>
      <c r="S351" t="inlineStr"/>
    </row>
    <row r="352">
      <c r="A352" t="inlineStr">
        <is>
          <t>A7003</t>
        </is>
      </c>
      <c r="B352" t="inlineStr">
        <is>
          <t>R07</t>
        </is>
      </c>
      <c r="C352" t="inlineStr">
        <is>
          <t>Nebulizer tubing - disposable</t>
        </is>
      </c>
      <c r="D352" t="n">
        <v>40</v>
      </c>
      <c r="E352" s="2" t="n">
        <v>1.89</v>
      </c>
      <c r="G352" s="2" t="inlineStr"/>
      <c r="I352" s="2" t="inlineStr"/>
      <c r="K352" s="2" t="inlineStr"/>
      <c r="L352">
        <f>IF(M352=G352,F352,IF(M352=I352,H352,J352))</f>
        <v/>
      </c>
      <c r="M352" s="2">
        <f>MIN(G352,I352,K352)</f>
        <v/>
      </c>
      <c r="N352" s="2">
        <f>D352*M352</f>
        <v/>
      </c>
      <c r="O352" s="2">
        <f>IF(ISBLANK(E352),0,D352*E352)</f>
        <v/>
      </c>
      <c r="P352" s="3">
        <f>IF(O352=0,0,(O352-N352)/O352)</f>
        <v/>
      </c>
      <c r="Q352" t="n">
        <v>40</v>
      </c>
      <c r="R352" t="inlineStr">
        <is>
          <t>LAUNCH_INVENTORY</t>
        </is>
      </c>
      <c r="S352" t="inlineStr"/>
    </row>
    <row r="353">
      <c r="A353" t="inlineStr">
        <is>
          <t>E0890</t>
        </is>
      </c>
      <c r="B353" t="inlineStr">
        <is>
          <t>DM21</t>
        </is>
      </c>
      <c r="C353" t="inlineStr">
        <is>
          <t>Pelvic traction setup</t>
        </is>
      </c>
      <c r="D353" t="n">
        <v>1</v>
      </c>
      <c r="E353" s="2" t="n">
        <v>168.22</v>
      </c>
      <c r="G353" s="2" t="inlineStr"/>
      <c r="I353" s="2" t="inlineStr"/>
      <c r="K353" s="2" t="inlineStr"/>
      <c r="L353">
        <f>IF(M353=G353,F353,IF(M353=I353,H353,J353))</f>
        <v/>
      </c>
      <c r="M353" s="2">
        <f>MIN(G353,I353,K353)</f>
        <v/>
      </c>
      <c r="N353" s="2">
        <f>D353*M353</f>
        <v/>
      </c>
      <c r="O353" s="2">
        <f>IF(ISBLANK(E353),0,D353*E353)</f>
        <v/>
      </c>
      <c r="P353" s="3">
        <f>IF(O353=0,0,(O353-N353)/O353)</f>
        <v/>
      </c>
      <c r="Q353" t="n">
        <v>40</v>
      </c>
      <c r="R353" t="inlineStr">
        <is>
          <t>LAUNCH_INVENTORY</t>
        </is>
      </c>
      <c r="S353" t="inlineStr"/>
    </row>
    <row r="354">
      <c r="A354" t="inlineStr">
        <is>
          <t>B4160</t>
        </is>
      </c>
      <c r="B354" t="inlineStr">
        <is>
          <t>PE03</t>
        </is>
      </c>
      <c r="C354" t="inlineStr">
        <is>
          <t>Enteral formula - pediatric</t>
        </is>
      </c>
      <c r="D354" t="n">
        <v>10</v>
      </c>
      <c r="E354" s="2" t="n"/>
      <c r="G354" s="2" t="inlineStr"/>
      <c r="I354" s="2" t="inlineStr"/>
      <c r="K354" s="2" t="inlineStr"/>
      <c r="L354">
        <f>IF(M354=G354,F354,IF(M354=I354,H354,J354))</f>
        <v/>
      </c>
      <c r="M354" s="2">
        <f>MIN(G354,I354,K354)</f>
        <v/>
      </c>
      <c r="N354" s="2">
        <f>D354*M354</f>
        <v/>
      </c>
      <c r="O354" s="2">
        <f>IF(ISBLANK(E354),0,D354*E354)</f>
        <v/>
      </c>
      <c r="P354" s="3">
        <f>IF(O354=0,0,(O354-N354)/O354)</f>
        <v/>
      </c>
      <c r="Q354" t="n">
        <v>40</v>
      </c>
      <c r="R354" t="inlineStr">
        <is>
          <t>LAUNCH_INVENTORY</t>
        </is>
      </c>
      <c r="S354" t="inlineStr"/>
    </row>
    <row r="355">
      <c r="A355" t="inlineStr">
        <is>
          <t>B4161</t>
        </is>
      </c>
      <c r="B355" t="inlineStr">
        <is>
          <t>PE03</t>
        </is>
      </c>
      <c r="C355" t="inlineStr">
        <is>
          <t>Enteral formula - specialized infant</t>
        </is>
      </c>
      <c r="D355" t="n">
        <v>5</v>
      </c>
      <c r="E355" s="2" t="n"/>
      <c r="G355" s="2" t="inlineStr"/>
      <c r="I355" s="2" t="inlineStr"/>
      <c r="K355" s="2" t="inlineStr"/>
      <c r="L355">
        <f>IF(M355=G355,F355,IF(M355=I355,H355,J355))</f>
        <v/>
      </c>
      <c r="M355" s="2">
        <f>MIN(G355,I355,K355)</f>
        <v/>
      </c>
      <c r="N355" s="2">
        <f>D355*M355</f>
        <v/>
      </c>
      <c r="O355" s="2">
        <f>IF(ISBLANK(E355),0,D355*E355)</f>
        <v/>
      </c>
      <c r="P355" s="3">
        <f>IF(O355=0,0,(O355-N355)/O355)</f>
        <v/>
      </c>
      <c r="Q355" t="n">
        <v>40</v>
      </c>
      <c r="R355" t="inlineStr">
        <is>
          <t>LAUNCH_INVENTORY</t>
        </is>
      </c>
      <c r="S355" t="inlineStr"/>
    </row>
    <row r="356">
      <c r="A356" t="inlineStr">
        <is>
          <t>E0776</t>
        </is>
      </c>
      <c r="B356" t="inlineStr">
        <is>
          <t>PE04</t>
        </is>
      </c>
      <c r="C356" t="inlineStr">
        <is>
          <t>Enteral feeding pump</t>
        </is>
      </c>
      <c r="D356" t="n">
        <v>2</v>
      </c>
      <c r="E356" s="2" t="n">
        <v>64.95999999999999</v>
      </c>
      <c r="G356" s="2" t="inlineStr"/>
      <c r="I356" s="2" t="inlineStr"/>
      <c r="K356" s="2" t="inlineStr"/>
      <c r="L356">
        <f>IF(M356=G356,F356,IF(M356=I356,H356,J356))</f>
        <v/>
      </c>
      <c r="M356" s="2">
        <f>MIN(G356,I356,K356)</f>
        <v/>
      </c>
      <c r="N356" s="2">
        <f>D356*M356</f>
        <v/>
      </c>
      <c r="O356" s="2">
        <f>IF(ISBLANK(E356),0,D356*E356)</f>
        <v/>
      </c>
      <c r="P356" s="3">
        <f>IF(O356=0,0,(O356-N356)/O356)</f>
        <v/>
      </c>
      <c r="Q356" t="n">
        <v>40</v>
      </c>
      <c r="R356" t="inlineStr">
        <is>
          <t>LAUNCH_INVENTORY</t>
        </is>
      </c>
      <c r="S356" t="inlineStr"/>
    </row>
    <row r="357">
      <c r="A357" t="inlineStr">
        <is>
          <t>L0172</t>
        </is>
      </c>
      <c r="B357" t="inlineStr">
        <is>
          <t>OR03</t>
        </is>
      </c>
      <c r="C357" t="inlineStr">
        <is>
          <t>Cervical collar - semi-rigid</t>
        </is>
      </c>
      <c r="D357" t="n">
        <v>2</v>
      </c>
      <c r="E357" s="2" t="n">
        <v>164.87</v>
      </c>
      <c r="G357" s="2" t="inlineStr"/>
      <c r="I357" s="2" t="inlineStr"/>
      <c r="K357" s="2" t="inlineStr"/>
      <c r="L357">
        <f>IF(M357=G357,F357,IF(M357=I357,H357,J357))</f>
        <v/>
      </c>
      <c r="M357" s="2">
        <f>MIN(G357,I357,K357)</f>
        <v/>
      </c>
      <c r="N357" s="2">
        <f>D357*M357</f>
        <v/>
      </c>
      <c r="O357" s="2">
        <f>IF(ISBLANK(E357),0,D357*E357)</f>
        <v/>
      </c>
      <c r="P357" s="3">
        <f>IF(O357=0,0,(O357-N357)/O357)</f>
        <v/>
      </c>
      <c r="Q357" t="n">
        <v>40</v>
      </c>
      <c r="R357" t="inlineStr">
        <is>
          <t>LAUNCH_INVENTORY</t>
        </is>
      </c>
      <c r="S357" t="inlineStr"/>
    </row>
    <row r="358">
      <c r="A358" t="inlineStr">
        <is>
          <t>E0781</t>
        </is>
      </c>
      <c r="B358" t="inlineStr">
        <is>
          <t>DM12</t>
        </is>
      </c>
      <c r="C358" t="inlineStr">
        <is>
          <t>Ambulatory infusion pump</t>
        </is>
      </c>
      <c r="D358" t="n">
        <v>2</v>
      </c>
      <c r="E358" s="2" t="n"/>
      <c r="G358" s="2" t="inlineStr"/>
      <c r="I358" s="2" t="inlineStr"/>
      <c r="K358" s="2" t="inlineStr"/>
      <c r="L358">
        <f>IF(M358=G358,F358,IF(M358=I358,H358,J358))</f>
        <v/>
      </c>
      <c r="M358" s="2">
        <f>MIN(G358,I358,K358)</f>
        <v/>
      </c>
      <c r="N358" s="2">
        <f>D358*M358</f>
        <v/>
      </c>
      <c r="O358" s="2">
        <f>IF(ISBLANK(E358),0,D358*E358)</f>
        <v/>
      </c>
      <c r="P358" s="3">
        <f>IF(O358=0,0,(O358-N358)/O358)</f>
        <v/>
      </c>
      <c r="Q358" t="n">
        <v>40</v>
      </c>
      <c r="R358" t="inlineStr">
        <is>
          <t>LAUNCH_INVENTORY</t>
        </is>
      </c>
      <c r="S358" t="inlineStr"/>
    </row>
    <row r="359">
      <c r="A359" t="inlineStr">
        <is>
          <t>E0779</t>
        </is>
      </c>
      <c r="B359" t="inlineStr">
        <is>
          <t>DM12</t>
        </is>
      </c>
      <c r="C359" t="inlineStr">
        <is>
          <t>Stationary infusion pump</t>
        </is>
      </c>
      <c r="D359" t="n">
        <v>1</v>
      </c>
      <c r="E359" s="2" t="n"/>
      <c r="G359" s="2" t="inlineStr"/>
      <c r="I359" s="2" t="inlineStr"/>
      <c r="K359" s="2" t="inlineStr"/>
      <c r="L359">
        <f>IF(M359=G359,F359,IF(M359=I359,H359,J359))</f>
        <v/>
      </c>
      <c r="M359" s="2">
        <f>MIN(G359,I359,K359)</f>
        <v/>
      </c>
      <c r="N359" s="2">
        <f>D359*M359</f>
        <v/>
      </c>
      <c r="O359" s="2">
        <f>IF(ISBLANK(E359),0,D359*E359)</f>
        <v/>
      </c>
      <c r="P359" s="3">
        <f>IF(O359=0,0,(O359-N359)/O359)</f>
        <v/>
      </c>
      <c r="Q359" t="n">
        <v>40</v>
      </c>
      <c r="R359" t="inlineStr">
        <is>
          <t>LAUNCH_INVENTORY</t>
        </is>
      </c>
      <c r="S359" t="inlineStr"/>
    </row>
    <row r="360">
      <c r="A360" t="inlineStr">
        <is>
          <t>A4305</t>
        </is>
      </c>
      <c r="B360" t="inlineStr">
        <is>
          <t>DM12</t>
        </is>
      </c>
      <c r="C360" t="inlineStr">
        <is>
          <t>Infusion pump supply - drug cassette</t>
        </is>
      </c>
      <c r="D360" t="n">
        <v>10</v>
      </c>
      <c r="E360" s="2" t="n"/>
      <c r="G360" s="2" t="inlineStr"/>
      <c r="I360" s="2" t="inlineStr"/>
      <c r="K360" s="2" t="inlineStr"/>
      <c r="L360">
        <f>IF(M360=G360,F360,IF(M360=I360,H360,J360))</f>
        <v/>
      </c>
      <c r="M360" s="2">
        <f>MIN(G360,I360,K360)</f>
        <v/>
      </c>
      <c r="N360" s="2">
        <f>D360*M360</f>
        <v/>
      </c>
      <c r="O360" s="2">
        <f>IF(ISBLANK(E360),0,D360*E360)</f>
        <v/>
      </c>
      <c r="P360" s="3">
        <f>IF(O360=0,0,(O360-N360)/O360)</f>
        <v/>
      </c>
      <c r="Q360" t="n">
        <v>40</v>
      </c>
      <c r="R360" t="inlineStr">
        <is>
          <t>LAUNCH_INVENTORY</t>
        </is>
      </c>
      <c r="S360" t="inlineStr"/>
    </row>
    <row r="361">
      <c r="A361" t="inlineStr">
        <is>
          <t>A4306</t>
        </is>
      </c>
      <c r="B361" t="inlineStr">
        <is>
          <t>DM12</t>
        </is>
      </c>
      <c r="C361" t="inlineStr">
        <is>
          <t>Infusion pump supply - administration set</t>
        </is>
      </c>
      <c r="D361" t="n">
        <v>10</v>
      </c>
      <c r="E361" s="2" t="n"/>
      <c r="G361" s="2" t="inlineStr"/>
      <c r="I361" s="2" t="inlineStr"/>
      <c r="K361" s="2" t="inlineStr"/>
      <c r="L361">
        <f>IF(M361=G361,F361,IF(M361=I361,H361,J361))</f>
        <v/>
      </c>
      <c r="M361" s="2">
        <f>MIN(G361,I361,K361)</f>
        <v/>
      </c>
      <c r="N361" s="2">
        <f>D361*M361</f>
        <v/>
      </c>
      <c r="O361" s="2">
        <f>IF(ISBLANK(E361),0,D361*E361)</f>
        <v/>
      </c>
      <c r="P361" s="3">
        <f>IF(O361=0,0,(O361-N361)/O361)</f>
        <v/>
      </c>
      <c r="Q361" t="n">
        <v>40</v>
      </c>
      <c r="R361" t="inlineStr">
        <is>
          <t>LAUNCH_INVENTORY</t>
        </is>
      </c>
      <c r="S361" t="inlineStr"/>
    </row>
    <row r="362">
      <c r="A362" t="inlineStr">
        <is>
          <t>E2402</t>
        </is>
      </c>
      <c r="B362" t="inlineStr">
        <is>
          <t>DM15</t>
        </is>
      </c>
      <c r="C362" t="inlineStr">
        <is>
          <t>Negative pressure wound therapy pump</t>
        </is>
      </c>
      <c r="D362" t="n">
        <v>1</v>
      </c>
      <c r="E362" s="2" t="n"/>
      <c r="G362" s="2" t="inlineStr"/>
      <c r="I362" s="2" t="inlineStr"/>
      <c r="K362" s="2" t="inlineStr"/>
      <c r="L362">
        <f>IF(M362=G362,F362,IF(M362=I362,H362,J362))</f>
        <v/>
      </c>
      <c r="M362" s="2">
        <f>MIN(G362,I362,K362)</f>
        <v/>
      </c>
      <c r="N362" s="2">
        <f>D362*M362</f>
        <v/>
      </c>
      <c r="O362" s="2">
        <f>IF(ISBLANK(E362),0,D362*E362)</f>
        <v/>
      </c>
      <c r="P362" s="3">
        <f>IF(O362=0,0,(O362-N362)/O362)</f>
        <v/>
      </c>
      <c r="Q362" t="n">
        <v>40</v>
      </c>
      <c r="R362" t="inlineStr">
        <is>
          <t>LAUNCH_INVENTORY</t>
        </is>
      </c>
      <c r="S362" t="inlineStr"/>
    </row>
    <row r="363">
      <c r="A363" t="inlineStr">
        <is>
          <t>A7000</t>
        </is>
      </c>
      <c r="B363" t="inlineStr">
        <is>
          <t>DM15</t>
        </is>
      </c>
      <c r="C363" t="inlineStr">
        <is>
          <t>NPWT canister - disposable</t>
        </is>
      </c>
      <c r="D363" t="n">
        <v>10</v>
      </c>
      <c r="E363" s="2" t="n">
        <v>9.1</v>
      </c>
      <c r="G363" s="2" t="inlineStr"/>
      <c r="I363" s="2" t="inlineStr"/>
      <c r="K363" s="2" t="inlineStr"/>
      <c r="L363">
        <f>IF(M363=G363,F363,IF(M363=I363,H363,J363))</f>
        <v/>
      </c>
      <c r="M363" s="2">
        <f>MIN(G363,I363,K363)</f>
        <v/>
      </c>
      <c r="N363" s="2">
        <f>D363*M363</f>
        <v/>
      </c>
      <c r="O363" s="2">
        <f>IF(ISBLANK(E363),0,D363*E363)</f>
        <v/>
      </c>
      <c r="P363" s="3">
        <f>IF(O363=0,0,(O363-N363)/O363)</f>
        <v/>
      </c>
      <c r="Q363" t="n">
        <v>40</v>
      </c>
      <c r="R363" t="inlineStr">
        <is>
          <t>LAUNCH_INVENTORY</t>
        </is>
      </c>
      <c r="S363" t="inlineStr"/>
    </row>
    <row r="364">
      <c r="A364" t="inlineStr">
        <is>
          <t>A6550</t>
        </is>
      </c>
      <c r="B364" t="inlineStr">
        <is>
          <t>DM15</t>
        </is>
      </c>
      <c r="C364" t="inlineStr">
        <is>
          <t>NPWT dressing kit</t>
        </is>
      </c>
      <c r="D364" t="n">
        <v>10</v>
      </c>
      <c r="E364" s="2" t="n">
        <v>30.45</v>
      </c>
      <c r="G364" s="2" t="inlineStr"/>
      <c r="I364" s="2" t="inlineStr"/>
      <c r="K364" s="2" t="inlineStr"/>
      <c r="L364">
        <f>IF(M364=G364,F364,IF(M364=I364,H364,J364))</f>
        <v/>
      </c>
      <c r="M364" s="2">
        <f>MIN(G364,I364,K364)</f>
        <v/>
      </c>
      <c r="N364" s="2">
        <f>D364*M364</f>
        <v/>
      </c>
      <c r="O364" s="2">
        <f>IF(ISBLANK(E364),0,D364*E364)</f>
        <v/>
      </c>
      <c r="P364" s="3">
        <f>IF(O364=0,0,(O364-N364)/O364)</f>
        <v/>
      </c>
      <c r="Q364" t="n">
        <v>40</v>
      </c>
      <c r="R364" t="inlineStr">
        <is>
          <t>LAUNCH_INVENTORY</t>
        </is>
      </c>
      <c r="S364" t="inlineStr"/>
    </row>
    <row r="365">
      <c r="A365" t="inlineStr">
        <is>
          <t>E0760</t>
        </is>
      </c>
      <c r="B365" t="inlineStr">
        <is>
          <t>DM17</t>
        </is>
      </c>
      <c r="C365" t="inlineStr">
        <is>
          <t>Osteogenesis stimulator - ultrasonic</t>
        </is>
      </c>
      <c r="D365" t="n">
        <v>1</v>
      </c>
      <c r="E365" s="2" t="n">
        <v>4517.27</v>
      </c>
      <c r="G365" s="2" t="inlineStr"/>
      <c r="I365" s="2" t="inlineStr"/>
      <c r="K365" s="2" t="inlineStr"/>
      <c r="L365">
        <f>IF(M365=G365,F365,IF(M365=I365,H365,J365))</f>
        <v/>
      </c>
      <c r="M365" s="2">
        <f>MIN(G365,I365,K365)</f>
        <v/>
      </c>
      <c r="N365" s="2">
        <f>D365*M365</f>
        <v/>
      </c>
      <c r="O365" s="2">
        <f>IF(ISBLANK(E365),0,D365*E365)</f>
        <v/>
      </c>
      <c r="P365" s="3">
        <f>IF(O365=0,0,(O365-N365)/O365)</f>
        <v/>
      </c>
      <c r="Q365" t="n">
        <v>40</v>
      </c>
      <c r="R365" t="inlineStr">
        <is>
          <t>LAUNCH_INVENTORY</t>
        </is>
      </c>
      <c r="S365" t="inlineStr"/>
    </row>
    <row r="366">
      <c r="A366" t="inlineStr">
        <is>
          <t>E0747</t>
        </is>
      </c>
      <c r="B366" t="inlineStr">
        <is>
          <t>DM17</t>
        </is>
      </c>
      <c r="C366" t="inlineStr">
        <is>
          <t>Osteogenesis stimulator - electromagnetic</t>
        </is>
      </c>
      <c r="D366" t="n">
        <v>1</v>
      </c>
      <c r="E366" s="2" t="n">
        <v>5437.38</v>
      </c>
      <c r="G366" s="2" t="inlineStr"/>
      <c r="I366" s="2" t="inlineStr"/>
      <c r="K366" s="2" t="inlineStr"/>
      <c r="L366">
        <f>IF(M366=G366,F366,IF(M366=I366,H366,J366))</f>
        <v/>
      </c>
      <c r="M366" s="2">
        <f>MIN(G366,I366,K366)</f>
        <v/>
      </c>
      <c r="N366" s="2">
        <f>D366*M366</f>
        <v/>
      </c>
      <c r="O366" s="2">
        <f>IF(ISBLANK(E366),0,D366*E366)</f>
        <v/>
      </c>
      <c r="P366" s="3">
        <f>IF(O366=0,0,(O366-N366)/O366)</f>
        <v/>
      </c>
      <c r="Q366" t="n">
        <v>40</v>
      </c>
      <c r="R366" t="inlineStr">
        <is>
          <t>LAUNCH_INVENTORY</t>
        </is>
      </c>
      <c r="S366" t="inlineStr"/>
    </row>
    <row r="367">
      <c r="A367" t="inlineStr">
        <is>
          <t>E0855</t>
        </is>
      </c>
      <c r="B367" t="inlineStr">
        <is>
          <t>DM21</t>
        </is>
      </c>
      <c r="C367" t="inlineStr">
        <is>
          <t>Cervical traction equipment</t>
        </is>
      </c>
      <c r="D367" t="n">
        <v>2</v>
      </c>
      <c r="E367" s="2" t="n"/>
      <c r="G367" s="2" t="inlineStr"/>
      <c r="I367" s="2" t="inlineStr"/>
      <c r="K367" s="2" t="inlineStr"/>
      <c r="L367">
        <f>IF(M367=G367,F367,IF(M367=I367,H367,J367))</f>
        <v/>
      </c>
      <c r="M367" s="2">
        <f>MIN(G367,I367,K367)</f>
        <v/>
      </c>
      <c r="N367" s="2">
        <f>D367*M367</f>
        <v/>
      </c>
      <c r="O367" s="2">
        <f>IF(ISBLANK(E367),0,D367*E367)</f>
        <v/>
      </c>
      <c r="P367" s="3">
        <f>IF(O367=0,0,(O367-N367)/O367)</f>
        <v/>
      </c>
      <c r="Q367" t="n">
        <v>40</v>
      </c>
      <c r="R367" t="inlineStr">
        <is>
          <t>LAUNCH_INVENTORY</t>
        </is>
      </c>
      <c r="S367" t="inlineStr"/>
    </row>
    <row r="368">
      <c r="A368" t="inlineStr">
        <is>
          <t>E0830</t>
        </is>
      </c>
      <c r="B368" t="inlineStr">
        <is>
          <t>DM21</t>
        </is>
      </c>
      <c r="C368" t="inlineStr">
        <is>
          <t>Ambulatory traction device</t>
        </is>
      </c>
      <c r="D368" t="n">
        <v>1</v>
      </c>
      <c r="E368" s="2" t="n"/>
      <c r="G368" s="2" t="inlineStr"/>
      <c r="I368" s="2" t="inlineStr"/>
      <c r="K368" s="2" t="inlineStr"/>
      <c r="L368">
        <f>IF(M368=G368,F368,IF(M368=I368,H368,J368))</f>
        <v/>
      </c>
      <c r="M368" s="2">
        <f>MIN(G368,I368,K368)</f>
        <v/>
      </c>
      <c r="N368" s="2">
        <f>D368*M368</f>
        <v/>
      </c>
      <c r="O368" s="2">
        <f>IF(ISBLANK(E368),0,D368*E368)</f>
        <v/>
      </c>
      <c r="P368" s="3">
        <f>IF(O368=0,0,(O368-N368)/O368)</f>
        <v/>
      </c>
      <c r="Q368" t="n">
        <v>40</v>
      </c>
      <c r="R368" t="inlineStr">
        <is>
          <t>LAUNCH_INVENTORY</t>
        </is>
      </c>
      <c r="S368" t="inlineStr"/>
    </row>
    <row r="369">
      <c r="A369" t="inlineStr">
        <is>
          <t>A7520</t>
        </is>
      </c>
      <c r="B369" t="inlineStr">
        <is>
          <t>PD08</t>
        </is>
      </c>
      <c r="C369" t="inlineStr">
        <is>
          <t>Tracheostomy tube - cuffed</t>
        </is>
      </c>
      <c r="D369" t="n">
        <v>5</v>
      </c>
      <c r="E369" s="2" t="n">
        <v>66.33</v>
      </c>
      <c r="G369" s="2" t="inlineStr"/>
      <c r="I369" s="2" t="inlineStr"/>
      <c r="K369" s="2" t="inlineStr"/>
      <c r="L369">
        <f>IF(M369=G369,F369,IF(M369=I369,H369,J369))</f>
        <v/>
      </c>
      <c r="M369" s="2">
        <f>MIN(G369,I369,K369)</f>
        <v/>
      </c>
      <c r="N369" s="2">
        <f>D369*M369</f>
        <v/>
      </c>
      <c r="O369" s="2">
        <f>IF(ISBLANK(E369),0,D369*E369)</f>
        <v/>
      </c>
      <c r="P369" s="3">
        <f>IF(O369=0,0,(O369-N369)/O369)</f>
        <v/>
      </c>
      <c r="Q369" t="n">
        <v>40</v>
      </c>
      <c r="R369" t="inlineStr">
        <is>
          <t>LAUNCH_INVENTORY</t>
        </is>
      </c>
      <c r="S369" t="inlineStr"/>
    </row>
    <row r="370">
      <c r="A370" t="inlineStr">
        <is>
          <t>A7521</t>
        </is>
      </c>
      <c r="B370" t="inlineStr">
        <is>
          <t>PD08</t>
        </is>
      </c>
      <c r="C370" t="inlineStr">
        <is>
          <t>Tracheostomy tube - uncuffed</t>
        </is>
      </c>
      <c r="D370" t="n">
        <v>5</v>
      </c>
      <c r="E370" s="2" t="n">
        <v>65.73</v>
      </c>
      <c r="G370" s="2" t="inlineStr"/>
      <c r="I370" s="2" t="inlineStr"/>
      <c r="K370" s="2" t="inlineStr"/>
      <c r="L370">
        <f>IF(M370=G370,F370,IF(M370=I370,H370,J370))</f>
        <v/>
      </c>
      <c r="M370" s="2">
        <f>MIN(G370,I370,K370)</f>
        <v/>
      </c>
      <c r="N370" s="2">
        <f>D370*M370</f>
        <v/>
      </c>
      <c r="O370" s="2">
        <f>IF(ISBLANK(E370),0,D370*E370)</f>
        <v/>
      </c>
      <c r="P370" s="3">
        <f>IF(O370=0,0,(O370-N370)/O370)</f>
        <v/>
      </c>
      <c r="Q370" t="n">
        <v>40</v>
      </c>
      <c r="R370" t="inlineStr">
        <is>
          <t>LAUNCH_INVENTORY</t>
        </is>
      </c>
      <c r="S370" t="inlineStr"/>
    </row>
    <row r="371">
      <c r="A371" t="inlineStr">
        <is>
          <t>A4625</t>
        </is>
      </c>
      <c r="B371" t="inlineStr">
        <is>
          <t>PD08</t>
        </is>
      </c>
      <c r="C371" t="inlineStr">
        <is>
          <t>Tracheostomy care kit</t>
        </is>
      </c>
      <c r="D371" t="n">
        <v>10</v>
      </c>
      <c r="E371" s="2" t="n">
        <v>9.68</v>
      </c>
      <c r="G371" s="2" t="inlineStr"/>
      <c r="I371" s="2" t="inlineStr"/>
      <c r="K371" s="2" t="inlineStr"/>
      <c r="L371">
        <f>IF(M371=G371,F371,IF(M371=I371,H371,J371))</f>
        <v/>
      </c>
      <c r="M371" s="2">
        <f>MIN(G371,I371,K371)</f>
        <v/>
      </c>
      <c r="N371" s="2">
        <f>D371*M371</f>
        <v/>
      </c>
      <c r="O371" s="2">
        <f>IF(ISBLANK(E371),0,D371*E371)</f>
        <v/>
      </c>
      <c r="P371" s="3">
        <f>IF(O371=0,0,(O371-N371)/O371)</f>
        <v/>
      </c>
      <c r="Q371" t="n">
        <v>40</v>
      </c>
      <c r="R371" t="inlineStr">
        <is>
          <t>LAUNCH_INVENTORY</t>
        </is>
      </c>
      <c r="S371" t="inlineStr"/>
    </row>
    <row r="372">
      <c r="A372" t="inlineStr">
        <is>
          <t>A4626</t>
        </is>
      </c>
      <c r="B372" t="inlineStr">
        <is>
          <t>PD08</t>
        </is>
      </c>
      <c r="C372" t="inlineStr">
        <is>
          <t>Tracheostomy cleaning brush</t>
        </is>
      </c>
      <c r="D372" t="n">
        <v>10</v>
      </c>
      <c r="E372" s="2" t="n">
        <v>4.45</v>
      </c>
      <c r="G372" s="2" t="inlineStr"/>
      <c r="I372" s="2" t="inlineStr"/>
      <c r="K372" s="2" t="inlineStr"/>
      <c r="L372">
        <f>IF(M372=G372,F372,IF(M372=I372,H372,J372))</f>
        <v/>
      </c>
      <c r="M372" s="2">
        <f>MIN(G372,I372,K372)</f>
        <v/>
      </c>
      <c r="N372" s="2">
        <f>D372*M372</f>
        <v/>
      </c>
      <c r="O372" s="2">
        <f>IF(ISBLANK(E372),0,D372*E372)</f>
        <v/>
      </c>
      <c r="P372" s="3">
        <f>IF(O372=0,0,(O372-N372)/O372)</f>
        <v/>
      </c>
      <c r="Q372" t="n">
        <v>40</v>
      </c>
      <c r="R372" t="inlineStr">
        <is>
          <t>LAUNCH_INVENTORY</t>
        </is>
      </c>
      <c r="S372" t="inlineStr"/>
    </row>
    <row r="373">
      <c r="A373" t="inlineStr">
        <is>
          <t>B4034</t>
        </is>
      </c>
      <c r="B373" t="inlineStr">
        <is>
          <t>PE04</t>
        </is>
      </c>
      <c r="C373" t="inlineStr">
        <is>
          <t>Enteral feeding bag</t>
        </is>
      </c>
      <c r="D373" t="n">
        <v>15</v>
      </c>
      <c r="E373" s="2" t="n">
        <v>3.75</v>
      </c>
      <c r="G373" s="2" t="inlineStr"/>
      <c r="I373" s="2" t="inlineStr"/>
      <c r="K373" s="2" t="inlineStr"/>
      <c r="L373">
        <f>IF(M373=G373,F373,IF(M373=I373,H373,J373))</f>
        <v/>
      </c>
      <c r="M373" s="2">
        <f>MIN(G373,I373,K373)</f>
        <v/>
      </c>
      <c r="N373" s="2">
        <f>D373*M373</f>
        <v/>
      </c>
      <c r="O373" s="2">
        <f>IF(ISBLANK(E373),0,D373*E373)</f>
        <v/>
      </c>
      <c r="P373" s="3">
        <f>IF(O373=0,0,(O373-N373)/O373)</f>
        <v/>
      </c>
      <c r="Q373" t="n">
        <v>40</v>
      </c>
      <c r="R373" t="inlineStr">
        <is>
          <t>LAUNCH_INVENTORY</t>
        </is>
      </c>
      <c r="S373" t="inlineStr"/>
    </row>
    <row r="374">
      <c r="A374" t="inlineStr">
        <is>
          <t>B4035</t>
        </is>
      </c>
      <c r="B374" t="inlineStr">
        <is>
          <t>PE04</t>
        </is>
      </c>
      <c r="C374" t="inlineStr">
        <is>
          <t>Enteral feeding bag - gravity</t>
        </is>
      </c>
      <c r="D374" t="n">
        <v>10</v>
      </c>
      <c r="E374" s="2" t="n">
        <v>6.24</v>
      </c>
      <c r="G374" s="2" t="inlineStr"/>
      <c r="I374" s="2" t="inlineStr"/>
      <c r="K374" s="2" t="inlineStr"/>
      <c r="L374">
        <f>IF(M374=G374,F374,IF(M374=I374,H374,J374))</f>
        <v/>
      </c>
      <c r="M374" s="2">
        <f>MIN(G374,I374,K374)</f>
        <v/>
      </c>
      <c r="N374" s="2">
        <f>D374*M374</f>
        <v/>
      </c>
      <c r="O374" s="2">
        <f>IF(ISBLANK(E374),0,D374*E374)</f>
        <v/>
      </c>
      <c r="P374" s="3">
        <f>IF(O374=0,0,(O374-N374)/O374)</f>
        <v/>
      </c>
      <c r="Q374" t="n">
        <v>40</v>
      </c>
      <c r="R374" t="inlineStr">
        <is>
          <t>LAUNCH_INVENTORY</t>
        </is>
      </c>
      <c r="S374" t="inlineStr"/>
    </row>
    <row r="375">
      <c r="A375" t="inlineStr">
        <is>
          <t>B4088</t>
        </is>
      </c>
      <c r="B375" t="inlineStr">
        <is>
          <t>PE04</t>
        </is>
      </c>
      <c r="C375" t="inlineStr">
        <is>
          <t>Enteral extension set</t>
        </is>
      </c>
      <c r="D375" t="n">
        <v>15</v>
      </c>
      <c r="E375" s="2" t="n">
        <v>33.73</v>
      </c>
      <c r="G375" s="2" t="inlineStr"/>
      <c r="I375" s="2" t="inlineStr"/>
      <c r="K375" s="2" t="inlineStr"/>
      <c r="L375">
        <f>IF(M375=G375,F375,IF(M375=I375,H375,J375))</f>
        <v/>
      </c>
      <c r="M375" s="2">
        <f>MIN(G375,I375,K375)</f>
        <v/>
      </c>
      <c r="N375" s="2">
        <f>D375*M375</f>
        <v/>
      </c>
      <c r="O375" s="2">
        <f>IF(ISBLANK(E375),0,D375*E375)</f>
        <v/>
      </c>
      <c r="P375" s="3">
        <f>IF(O375=0,0,(O375-N375)/O375)</f>
        <v/>
      </c>
      <c r="Q375" t="n">
        <v>40</v>
      </c>
      <c r="R375" t="inlineStr">
        <is>
          <t>LAUNCH_INVENTORY</t>
        </is>
      </c>
      <c r="S375" t="inlineStr"/>
    </row>
    <row r="376">
      <c r="A376" t="inlineStr">
        <is>
          <t>B4081</t>
        </is>
      </c>
      <c r="B376" t="inlineStr">
        <is>
          <t>PE04</t>
        </is>
      </c>
      <c r="C376" t="inlineStr">
        <is>
          <t>Enteral feeding tube - nasogastric</t>
        </is>
      </c>
      <c r="D376" t="n">
        <v>10</v>
      </c>
      <c r="E376" s="2" t="n">
        <v>18.12</v>
      </c>
      <c r="G376" s="2" t="inlineStr"/>
      <c r="I376" s="2" t="inlineStr"/>
      <c r="K376" s="2" t="inlineStr"/>
      <c r="L376">
        <f>IF(M376=G376,F376,IF(M376=I376,H376,J376))</f>
        <v/>
      </c>
      <c r="M376" s="2">
        <f>MIN(G376,I376,K376)</f>
        <v/>
      </c>
      <c r="N376" s="2">
        <f>D376*M376</f>
        <v/>
      </c>
      <c r="O376" s="2">
        <f>IF(ISBLANK(E376),0,D376*E376)</f>
        <v/>
      </c>
      <c r="P376" s="3">
        <f>IF(O376=0,0,(O376-N376)/O376)</f>
        <v/>
      </c>
      <c r="Q376" t="n">
        <v>40</v>
      </c>
      <c r="R376" t="inlineStr">
        <is>
          <t>LAUNCH_INVENTORY</t>
        </is>
      </c>
      <c r="S376" t="inlineStr"/>
    </row>
    <row r="377">
      <c r="A377" t="inlineStr">
        <is>
          <t>A7505</t>
        </is>
      </c>
      <c r="B377" t="inlineStr">
        <is>
          <t>PD08</t>
        </is>
      </c>
      <c r="C377" t="inlineStr">
        <is>
          <t>Trach speaking valve - one way</t>
        </is>
      </c>
      <c r="D377" t="n">
        <v>3</v>
      </c>
      <c r="E377" s="2" t="n">
        <v>6.55</v>
      </c>
      <c r="G377" s="2" t="inlineStr"/>
      <c r="I377" s="2" t="inlineStr"/>
      <c r="K377" s="2" t="inlineStr"/>
      <c r="L377">
        <f>IF(M377=G377,F377,IF(M377=I377,H377,J377))</f>
        <v/>
      </c>
      <c r="M377" s="2">
        <f>MIN(G377,I377,K377)</f>
        <v/>
      </c>
      <c r="N377" s="2">
        <f>D377*M377</f>
        <v/>
      </c>
      <c r="O377" s="2">
        <f>IF(ISBLANK(E377),0,D377*E377)</f>
        <v/>
      </c>
      <c r="P377" s="3">
        <f>IF(O377=0,0,(O377-N377)/O377)</f>
        <v/>
      </c>
      <c r="Q377" t="n">
        <v>40</v>
      </c>
      <c r="R377" t="inlineStr">
        <is>
          <t>LAUNCH_INVENTORY</t>
        </is>
      </c>
      <c r="S377" t="inlineStr"/>
    </row>
    <row r="378">
      <c r="A378" t="inlineStr">
        <is>
          <t>A7506</t>
        </is>
      </c>
      <c r="B378" t="inlineStr">
        <is>
          <t>PD08</t>
        </is>
      </c>
      <c r="C378" t="inlineStr">
        <is>
          <t>Trach speaking valve - one way with adapter</t>
        </is>
      </c>
      <c r="D378" t="n">
        <v>2</v>
      </c>
      <c r="E378" s="2" t="n">
        <v>0.45</v>
      </c>
      <c r="G378" s="2" t="inlineStr"/>
      <c r="I378" s="2" t="inlineStr"/>
      <c r="K378" s="2" t="inlineStr"/>
      <c r="L378">
        <f>IF(M378=G378,F378,IF(M378=I378,H378,J378))</f>
        <v/>
      </c>
      <c r="M378" s="2">
        <f>MIN(G378,I378,K378)</f>
        <v/>
      </c>
      <c r="N378" s="2">
        <f>D378*M378</f>
        <v/>
      </c>
      <c r="O378" s="2">
        <f>IF(ISBLANK(E378),0,D378*E378)</f>
        <v/>
      </c>
      <c r="P378" s="3">
        <f>IF(O378=0,0,(O378-N378)/O378)</f>
        <v/>
      </c>
      <c r="Q378" t="n">
        <v>40</v>
      </c>
      <c r="R378" t="inlineStr">
        <is>
          <t>LAUNCH_INVENTORY</t>
        </is>
      </c>
      <c r="S378" t="inlineStr"/>
    </row>
    <row r="379">
      <c r="A379" t="inlineStr">
        <is>
          <t>A4481</t>
        </is>
      </c>
      <c r="B379" t="inlineStr">
        <is>
          <t>PD08</t>
        </is>
      </c>
      <c r="C379" t="inlineStr">
        <is>
          <t>Tracheostomy filter</t>
        </is>
      </c>
      <c r="D379" t="n">
        <v>15</v>
      </c>
      <c r="E379" s="2" t="n">
        <v>0.5</v>
      </c>
      <c r="G379" s="2" t="inlineStr"/>
      <c r="I379" s="2" t="inlineStr"/>
      <c r="K379" s="2" t="inlineStr"/>
      <c r="L379">
        <f>IF(M379=G379,F379,IF(M379=I379,H379,J379))</f>
        <v/>
      </c>
      <c r="M379" s="2">
        <f>MIN(G379,I379,K379)</f>
        <v/>
      </c>
      <c r="N379" s="2">
        <f>D379*M379</f>
        <v/>
      </c>
      <c r="O379" s="2">
        <f>IF(ISBLANK(E379),0,D379*E379)</f>
        <v/>
      </c>
      <c r="P379" s="3">
        <f>IF(O379=0,0,(O379-N379)/O379)</f>
        <v/>
      </c>
      <c r="Q379" t="n">
        <v>40</v>
      </c>
      <c r="R379" t="inlineStr">
        <is>
          <t>LAUNCH_INVENTORY</t>
        </is>
      </c>
      <c r="S379" t="inlineStr"/>
    </row>
    <row r="380">
      <c r="A380" t="inlineStr">
        <is>
          <t>A4483</t>
        </is>
      </c>
      <c r="B380" t="inlineStr">
        <is>
          <t>PD08</t>
        </is>
      </c>
      <c r="C380" t="inlineStr">
        <is>
          <t>Tracheostomy moisture exchanger</t>
        </is>
      </c>
      <c r="D380" t="n">
        <v>15</v>
      </c>
      <c r="E380" s="2" t="n"/>
      <c r="G380" s="2" t="inlineStr"/>
      <c r="I380" s="2" t="inlineStr"/>
      <c r="K380" s="2" t="inlineStr"/>
      <c r="L380">
        <f>IF(M380=G380,F380,IF(M380=I380,H380,J380))</f>
        <v/>
      </c>
      <c r="M380" s="2">
        <f>MIN(G380,I380,K380)</f>
        <v/>
      </c>
      <c r="N380" s="2">
        <f>D380*M380</f>
        <v/>
      </c>
      <c r="O380" s="2">
        <f>IF(ISBLANK(E380),0,D380*E380)</f>
        <v/>
      </c>
      <c r="P380" s="3">
        <f>IF(O380=0,0,(O380-N380)/O380)</f>
        <v/>
      </c>
      <c r="Q380" t="n">
        <v>40</v>
      </c>
      <c r="R380" t="inlineStr">
        <is>
          <t>LAUNCH_INVENTORY</t>
        </is>
      </c>
      <c r="S380" t="inlineStr"/>
    </row>
    <row r="381">
      <c r="A381" t="inlineStr">
        <is>
          <t>E1229</t>
        </is>
      </c>
      <c r="B381" t="inlineStr">
        <is>
          <t>M06</t>
        </is>
      </c>
      <c r="C381" t="inlineStr">
        <is>
          <t>WHEELCHAIR, PEDIATRIC SIZE, NOT OTHERWISE SPECIFIED</t>
        </is>
      </c>
      <c r="D381" t="n">
        <v>1</v>
      </c>
      <c r="E381" s="2" t="n"/>
      <c r="G381" s="2" t="inlineStr"/>
      <c r="I381" s="2" t="inlineStr"/>
      <c r="K381" s="2" t="inlineStr"/>
      <c r="L381">
        <f>IF(M381=G381,F381,IF(M381=I381,H381,J381))</f>
        <v/>
      </c>
      <c r="M381" s="2">
        <f>MIN(G381,I381,K381)</f>
        <v/>
      </c>
      <c r="N381" s="2">
        <f>D381*M381</f>
        <v/>
      </c>
      <c r="O381" s="2">
        <f>IF(ISBLANK(E381),0,D381*E381)</f>
        <v/>
      </c>
      <c r="P381" s="3">
        <f>IF(O381=0,0,(O381-N381)/O381)</f>
        <v/>
      </c>
      <c r="Q381" t="n">
        <v>30</v>
      </c>
      <c r="R381" t="inlineStr">
        <is>
          <t>LAUNCH_INVENTORY</t>
        </is>
      </c>
      <c r="S381" t="inlineStr"/>
    </row>
    <row r="382">
      <c r="A382" t="inlineStr">
        <is>
          <t>A9900</t>
        </is>
      </c>
      <c r="B382" t="inlineStr">
        <is>
          <t>M05</t>
        </is>
      </c>
      <c r="C382" t="inlineStr">
        <is>
          <t>MISCELLANEOUS DME SUPPLY, ACCESSORY, AND/OR SERVICE COMPONENT OF ANOTHER HCPCS CODE</t>
        </is>
      </c>
      <c r="D382" t="n">
        <v>1</v>
      </c>
      <c r="E382" s="2" t="n"/>
      <c r="G382" s="2" t="inlineStr"/>
      <c r="I382" s="2" t="inlineStr"/>
      <c r="K382" s="2" t="inlineStr"/>
      <c r="L382">
        <f>IF(M382=G382,F382,IF(M382=I382,H382,J382))</f>
        <v/>
      </c>
      <c r="M382" s="2">
        <f>MIN(G382,I382,K382)</f>
        <v/>
      </c>
      <c r="N382" s="2">
        <f>D382*M382</f>
        <v/>
      </c>
      <c r="O382" s="2">
        <f>IF(ISBLANK(E382),0,D382*E382)</f>
        <v/>
      </c>
      <c r="P382" s="3">
        <f>IF(O382=0,0,(O382-N382)/O382)</f>
        <v/>
      </c>
      <c r="Q382" t="n">
        <v>30</v>
      </c>
      <c r="R382" t="inlineStr">
        <is>
          <t>LAUNCH_INVENTORY</t>
        </is>
      </c>
      <c r="S382" t="inlineStr"/>
    </row>
    <row r="383">
      <c r="A383" t="inlineStr">
        <is>
          <t>K0008</t>
        </is>
      </c>
      <c r="B383" t="inlineStr">
        <is>
          <t>M06</t>
        </is>
      </c>
      <c r="C383" t="inlineStr">
        <is>
          <t>CUSTOM MANUAL WHEELCHAIR/BASE</t>
        </is>
      </c>
      <c r="D383" t="n">
        <v>1</v>
      </c>
      <c r="E383" s="2" t="n"/>
      <c r="G383" s="2" t="inlineStr"/>
      <c r="I383" s="2" t="inlineStr"/>
      <c r="K383" s="2" t="inlineStr"/>
      <c r="L383">
        <f>IF(M383=G383,F383,IF(M383=I383,H383,J383))</f>
        <v/>
      </c>
      <c r="M383" s="2">
        <f>MIN(G383,I383,K383)</f>
        <v/>
      </c>
      <c r="N383" s="2">
        <f>D383*M383</f>
        <v/>
      </c>
      <c r="O383" s="2">
        <f>IF(ISBLANK(E383),0,D383*E383)</f>
        <v/>
      </c>
      <c r="P383" s="3">
        <f>IF(O383=0,0,(O383-N383)/O383)</f>
        <v/>
      </c>
      <c r="Q383" t="n">
        <v>30</v>
      </c>
      <c r="R383" t="inlineStr">
        <is>
          <t>LAUNCH_INVENTORY</t>
        </is>
      </c>
      <c r="S383" t="inlineStr"/>
    </row>
    <row r="384">
      <c r="A384" t="inlineStr">
        <is>
          <t>E0118</t>
        </is>
      </c>
      <c r="B384" t="inlineStr">
        <is>
          <t>M01</t>
        </is>
      </c>
      <c r="C384" t="inlineStr">
        <is>
          <t>CRUTCH SUBSTITUTE, LOWER LEG PLATFORM, WITH OR WITHOUT WHEELS, EACH</t>
        </is>
      </c>
      <c r="D384" t="n">
        <v>1</v>
      </c>
      <c r="E384" s="2" t="n"/>
      <c r="G384" s="2" t="inlineStr"/>
      <c r="I384" s="2" t="inlineStr"/>
      <c r="K384" s="2" t="inlineStr"/>
      <c r="L384">
        <f>IF(M384=G384,F384,IF(M384=I384,H384,J384))</f>
        <v/>
      </c>
      <c r="M384" s="2">
        <f>MIN(G384,I384,K384)</f>
        <v/>
      </c>
      <c r="N384" s="2">
        <f>D384*M384</f>
        <v/>
      </c>
      <c r="O384" s="2">
        <f>IF(ISBLANK(E384),0,D384*E384)</f>
        <v/>
      </c>
      <c r="P384" s="3">
        <f>IF(O384=0,0,(O384-N384)/O384)</f>
        <v/>
      </c>
      <c r="Q384" t="n">
        <v>30</v>
      </c>
      <c r="R384" t="inlineStr">
        <is>
          <t>LAUNCH_INVENTORY</t>
        </is>
      </c>
      <c r="S384" t="inlineStr"/>
    </row>
  </sheetData>
  <conditionalFormatting sqref="P2:P384">
    <cfRule type="cellIs" priority="4" operator="greaterThan" dxfId="0" stopIfTrue="1">
      <formula>0.3</formula>
    </cfRule>
    <cfRule type="cellIs" priority="5" operator="between" dxfId="1" stopIfTrue="1">
      <formula>0.1</formula>
      <formula>0.3</formula>
    </cfRule>
    <cfRule type="cellIs" priority="6" operator="lessThan" dxfId="2" stopIfTrue="1">
      <formula>0.1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4" t="inlineStr">
        <is>
          <t>BOC Category</t>
        </is>
      </c>
      <c r="B1" s="4" t="inlineStr">
        <is>
          <t>SKU Count</t>
        </is>
      </c>
      <c r="C1" s="4" t="inlineStr">
        <is>
          <t>Investment</t>
        </is>
      </c>
      <c r="D1" s="4" t="inlineStr">
        <is>
          <t>Revenue Potential</t>
        </is>
      </c>
      <c r="E1" s="4" t="inlineStr">
        <is>
          <t>Profit Potential</t>
        </is>
      </c>
      <c r="F1" s="4" t="inlineStr">
        <is>
          <t>ROI %</t>
        </is>
      </c>
      <c r="G1" s="4" t="inlineStr">
        <is>
          <t>Avg Margin %</t>
        </is>
      </c>
    </row>
    <row r="2">
      <c r="A2" t="inlineStr">
        <is>
          <t>S04</t>
        </is>
      </c>
      <c r="B2" t="n">
        <v>71</v>
      </c>
      <c r="C2" s="2" t="n">
        <v>33184.93542857143</v>
      </c>
      <c r="D2" s="2" t="n">
        <v>54786.45</v>
      </c>
      <c r="E2" s="2" t="n">
        <v>21914.58</v>
      </c>
      <c r="F2" s="3" t="n">
        <v>66.03773584905662</v>
      </c>
      <c r="G2" s="3" t="n">
        <v>40.00000000000001</v>
      </c>
    </row>
    <row r="3">
      <c r="A3" t="inlineStr">
        <is>
          <t>DM06</t>
        </is>
      </c>
      <c r="B3" t="n">
        <v>7</v>
      </c>
      <c r="C3" s="2" t="n">
        <v>9050</v>
      </c>
      <c r="D3" s="2" t="n">
        <v>24871.2</v>
      </c>
      <c r="E3" s="2" t="n">
        <v>15821.2</v>
      </c>
      <c r="F3" s="3" t="n">
        <v>174.8198895027624</v>
      </c>
      <c r="G3" s="3" t="n">
        <v>63.61253176364631</v>
      </c>
    </row>
    <row r="4">
      <c r="A4" t="inlineStr">
        <is>
          <t>DM08</t>
        </is>
      </c>
      <c r="B4" t="n">
        <v>6</v>
      </c>
      <c r="C4" s="2" t="n">
        <v>2210</v>
      </c>
      <c r="D4" s="2" t="n">
        <v>14750.85</v>
      </c>
      <c r="E4" s="2" t="n">
        <v>13325.85</v>
      </c>
      <c r="F4" s="3" t="n">
        <v>602.9796380090498</v>
      </c>
      <c r="G4" s="3" t="n">
        <v>90.33953975533613</v>
      </c>
    </row>
    <row r="5">
      <c r="A5" t="inlineStr">
        <is>
          <t>DM18</t>
        </is>
      </c>
      <c r="B5" t="n">
        <v>4</v>
      </c>
      <c r="C5" s="2" t="n">
        <v>2160</v>
      </c>
      <c r="D5" s="2" t="n">
        <v>12113.87</v>
      </c>
      <c r="E5" s="2" t="n">
        <v>9953.870000000001</v>
      </c>
      <c r="F5" s="3" t="n">
        <v>460.8273148148148</v>
      </c>
      <c r="G5" s="3" t="n">
        <v>82.16919943832978</v>
      </c>
    </row>
    <row r="6">
      <c r="A6" t="inlineStr">
        <is>
          <t>DM17</t>
        </is>
      </c>
      <c r="B6" t="n">
        <v>2</v>
      </c>
      <c r="C6" s="2" t="n">
        <v>1000</v>
      </c>
      <c r="D6" s="2" t="n">
        <v>9954.650000000001</v>
      </c>
      <c r="E6" s="2" t="n">
        <v>8954.65</v>
      </c>
      <c r="F6" s="3" t="n">
        <v>895.4649999999999</v>
      </c>
      <c r="G6" s="3" t="n">
        <v>89.95444340082271</v>
      </c>
    </row>
    <row r="7">
      <c r="A7" t="inlineStr">
        <is>
          <t>M06A</t>
        </is>
      </c>
      <c r="B7" t="n">
        <v>74</v>
      </c>
      <c r="C7" s="2" t="n">
        <v>8208.914571428571</v>
      </c>
      <c r="D7" s="2" t="n">
        <v>13179.45</v>
      </c>
      <c r="E7" s="2" t="n">
        <v>5271.780000000001</v>
      </c>
      <c r="F7" s="3" t="n">
        <v>64.22018348623854</v>
      </c>
      <c r="G7" s="3" t="n">
        <v>40</v>
      </c>
    </row>
    <row r="8">
      <c r="A8" t="inlineStr">
        <is>
          <t>DM29</t>
        </is>
      </c>
      <c r="B8" t="n">
        <v>3</v>
      </c>
      <c r="C8" s="2" t="n">
        <v>1460</v>
      </c>
      <c r="D8" s="2" t="n">
        <v>5207.8</v>
      </c>
      <c r="E8" s="2" t="n">
        <v>4797.8</v>
      </c>
      <c r="F8" s="3" t="n">
        <v>328.6164383561644</v>
      </c>
      <c r="G8" s="3" t="n">
        <v>92.12719382464765</v>
      </c>
    </row>
    <row r="9">
      <c r="A9" t="inlineStr">
        <is>
          <t>OR03</t>
        </is>
      </c>
      <c r="B9" t="n">
        <v>16</v>
      </c>
      <c r="C9" s="2" t="n">
        <v>4490</v>
      </c>
      <c r="D9" s="2" t="n">
        <v>7846.49</v>
      </c>
      <c r="E9" s="2" t="n">
        <v>3916.49</v>
      </c>
      <c r="F9" s="3" t="n">
        <v>87.22694877505567</v>
      </c>
      <c r="G9" s="3" t="n">
        <v>49.91391055108717</v>
      </c>
    </row>
    <row r="10">
      <c r="A10" t="inlineStr">
        <is>
          <t>S01</t>
        </is>
      </c>
      <c r="B10" t="n">
        <v>92</v>
      </c>
      <c r="C10" s="2" t="n">
        <v>3908.010337078651</v>
      </c>
      <c r="D10" s="2" t="n">
        <v>6370.2</v>
      </c>
      <c r="E10" s="2" t="n">
        <v>2548.08</v>
      </c>
      <c r="F10" s="3" t="n">
        <v>65.2014652014652</v>
      </c>
      <c r="G10" s="3" t="n">
        <v>40</v>
      </c>
    </row>
    <row r="11">
      <c r="A11" t="inlineStr">
        <is>
          <t>M01</t>
        </is>
      </c>
      <c r="B11" t="n">
        <v>14</v>
      </c>
      <c r="C11" s="2" t="n">
        <v>735.1684615384615</v>
      </c>
      <c r="D11" s="2" t="n">
        <v>1179.9</v>
      </c>
      <c r="E11" s="2" t="n">
        <v>471.96</v>
      </c>
      <c r="F11" s="3" t="n">
        <v>64.19753086419753</v>
      </c>
      <c r="G11" s="3" t="n">
        <v>40</v>
      </c>
    </row>
    <row r="12">
      <c r="A12" t="inlineStr">
        <is>
          <t>M05</t>
        </is>
      </c>
      <c r="B12" t="n">
        <v>17</v>
      </c>
      <c r="C12" s="2" t="n">
        <v>2297.611625</v>
      </c>
      <c r="D12" s="2" t="n">
        <v>2360.18</v>
      </c>
      <c r="E12" s="2" t="n">
        <v>102.792</v>
      </c>
      <c r="F12" s="3" t="n">
        <v>4.473863157791085</v>
      </c>
      <c r="G12" s="3" t="n">
        <v>4.35526103941225</v>
      </c>
    </row>
    <row r="13">
      <c r="A13" t="inlineStr">
        <is>
          <t>PD09</t>
        </is>
      </c>
      <c r="B13" t="n">
        <v>6</v>
      </c>
      <c r="C13" s="2" t="n">
        <v>3757.524</v>
      </c>
      <c r="D13" s="2" t="n">
        <v>12.54</v>
      </c>
      <c r="E13" s="2" t="n">
        <v>5.016</v>
      </c>
      <c r="F13" s="3" t="n">
        <v>0.1334921613275125</v>
      </c>
      <c r="G13" s="3" t="n">
        <v>40</v>
      </c>
    </row>
    <row r="14">
      <c r="A14" t="inlineStr">
        <is>
          <t>DM05</t>
        </is>
      </c>
      <c r="B14" t="n">
        <v>1</v>
      </c>
      <c r="C14" s="2" t="n">
        <v>0.612</v>
      </c>
      <c r="D14" s="2" t="n">
        <v>1.02</v>
      </c>
      <c r="E14" s="2" t="n">
        <v>0.408</v>
      </c>
      <c r="F14" s="3" t="n">
        <v>66.66666666666666</v>
      </c>
      <c r="G14" s="3" t="n">
        <v>40</v>
      </c>
    </row>
    <row r="15">
      <c r="A15" t="inlineStr">
        <is>
          <t>DM11</t>
        </is>
      </c>
      <c r="B15" t="n">
        <v>2</v>
      </c>
      <c r="C15" s="2" t="n">
        <v>775</v>
      </c>
      <c r="D15" s="2" t="n">
        <v>0</v>
      </c>
      <c r="E15" s="2" t="n">
        <v>0</v>
      </c>
      <c r="F15" s="3" t="n">
        <v>0</v>
      </c>
      <c r="G15" s="3" t="n"/>
    </row>
    <row r="16">
      <c r="A16" t="inlineStr">
        <is>
          <t>DM12</t>
        </is>
      </c>
      <c r="B16" t="n">
        <v>4</v>
      </c>
      <c r="C16" s="2" t="n">
        <v>1950</v>
      </c>
      <c r="D16" s="2" t="n">
        <v>0</v>
      </c>
      <c r="E16" s="2" t="n">
        <v>0</v>
      </c>
      <c r="F16" s="3" t="n">
        <v>0</v>
      </c>
      <c r="G16" s="3" t="n"/>
    </row>
    <row r="17">
      <c r="A17" t="inlineStr">
        <is>
          <t>DM21</t>
        </is>
      </c>
      <c r="B17" t="n">
        <v>3</v>
      </c>
      <c r="C17" s="2" t="n">
        <v>745</v>
      </c>
      <c r="D17" s="2" t="n">
        <v>168.22</v>
      </c>
      <c r="E17" s="2" t="n">
        <v>-81.78</v>
      </c>
      <c r="F17" s="3" t="n">
        <v>-10.97718120805369</v>
      </c>
      <c r="G17" s="3" t="n">
        <v>-48.61490904767567</v>
      </c>
    </row>
    <row r="18">
      <c r="A18" t="inlineStr">
        <is>
          <t>DM20</t>
        </is>
      </c>
      <c r="B18" t="n">
        <v>6</v>
      </c>
      <c r="C18" s="2" t="n">
        <v>3285</v>
      </c>
      <c r="D18" s="2" t="n">
        <v>134.88</v>
      </c>
      <c r="E18" s="2" t="n">
        <v>-205.12</v>
      </c>
      <c r="F18" s="3" t="n">
        <v>-6.2441400304414</v>
      </c>
      <c r="G18" s="3" t="n">
        <v>-152.0759193357058</v>
      </c>
    </row>
    <row r="19">
      <c r="A19" t="inlineStr">
        <is>
          <t>DM16</t>
        </is>
      </c>
      <c r="B19" t="n">
        <v>3</v>
      </c>
      <c r="C19" s="2" t="n">
        <v>1200</v>
      </c>
      <c r="D19" s="2" t="n">
        <v>171.26</v>
      </c>
      <c r="E19" s="2" t="n">
        <v>-228.74</v>
      </c>
      <c r="F19" s="3" t="n">
        <v>-19.06166666666667</v>
      </c>
      <c r="G19" s="3" t="n">
        <v>-133.5630036202266</v>
      </c>
    </row>
    <row r="20">
      <c r="A20" t="inlineStr">
        <is>
          <t>PE04</t>
        </is>
      </c>
      <c r="B20" t="n">
        <v>5</v>
      </c>
      <c r="C20" s="2" t="n">
        <v>1210</v>
      </c>
      <c r="D20" s="2" t="n">
        <v>935.7199999999999</v>
      </c>
      <c r="E20" s="2" t="n">
        <v>-274.2800000000001</v>
      </c>
      <c r="F20" s="3" t="n">
        <v>-22.66776859504133</v>
      </c>
      <c r="G20" s="3" t="n">
        <v>-29.31218740648914</v>
      </c>
    </row>
    <row r="21">
      <c r="A21" t="inlineStr">
        <is>
          <t>PD08</t>
        </is>
      </c>
      <c r="B21" t="n">
        <v>8</v>
      </c>
      <c r="C21" s="2" t="n">
        <v>1300</v>
      </c>
      <c r="D21" s="2" t="n">
        <v>829.65</v>
      </c>
      <c r="E21" s="2" t="n">
        <v>-290.35</v>
      </c>
      <c r="F21" s="3" t="n">
        <v>-22.33461538461538</v>
      </c>
      <c r="G21" s="3" t="n">
        <v>-34.99668534924366</v>
      </c>
    </row>
    <row r="22">
      <c r="A22" t="inlineStr">
        <is>
          <t>M06</t>
        </is>
      </c>
      <c r="B22" t="n">
        <v>13</v>
      </c>
      <c r="C22" s="2" t="n">
        <v>1557.132363636364</v>
      </c>
      <c r="D22" s="2" t="n">
        <v>1199.08</v>
      </c>
      <c r="E22" s="2" t="n">
        <v>-292.648</v>
      </c>
      <c r="F22" s="3" t="n">
        <v>-18.79403490892582</v>
      </c>
      <c r="G22" s="3" t="n">
        <v>-24.40604463421957</v>
      </c>
    </row>
    <row r="23">
      <c r="A23" t="inlineStr">
        <is>
          <t>DM25</t>
        </is>
      </c>
      <c r="B23" t="n">
        <v>3</v>
      </c>
      <c r="C23" s="2" t="n">
        <v>1125</v>
      </c>
      <c r="D23" s="2" t="n">
        <v>748.05</v>
      </c>
      <c r="E23" s="2" t="n">
        <v>-376.95</v>
      </c>
      <c r="F23" s="3" t="n">
        <v>-33.50666666666667</v>
      </c>
      <c r="G23" s="3" t="n">
        <v>-50.39101664327251</v>
      </c>
    </row>
    <row r="24">
      <c r="A24" t="inlineStr">
        <is>
          <t>DM15</t>
        </is>
      </c>
      <c r="B24" t="n">
        <v>3</v>
      </c>
      <c r="C24" s="2" t="n">
        <v>1650</v>
      </c>
      <c r="D24" s="2" t="n">
        <v>395.5</v>
      </c>
      <c r="E24" s="2" t="n">
        <v>-404.5</v>
      </c>
      <c r="F24" s="3" t="n">
        <v>-24.51515151515152</v>
      </c>
      <c r="G24" s="3" t="n">
        <v>-102.275600505689</v>
      </c>
    </row>
    <row r="25">
      <c r="A25" t="inlineStr">
        <is>
          <t>DM02</t>
        </is>
      </c>
      <c r="B25" t="n">
        <v>7</v>
      </c>
      <c r="C25" s="2" t="n">
        <v>2135</v>
      </c>
      <c r="D25" s="2" t="n">
        <v>889.67</v>
      </c>
      <c r="E25" s="2" t="n">
        <v>-545.3299999999999</v>
      </c>
      <c r="F25" s="3" t="n">
        <v>-25.5423887587822</v>
      </c>
      <c r="G25" s="3" t="n">
        <v>-61.29576134971393</v>
      </c>
    </row>
    <row r="26">
      <c r="A26" t="inlineStr">
        <is>
          <t>DM22</t>
        </is>
      </c>
      <c r="B26" t="n">
        <v>4</v>
      </c>
      <c r="C26" s="2" t="n">
        <v>2260</v>
      </c>
      <c r="D26" s="2" t="n">
        <v>661.58</v>
      </c>
      <c r="E26" s="2" t="n">
        <v>-778.4200000000001</v>
      </c>
      <c r="F26" s="3" t="n">
        <v>-34.44336283185841</v>
      </c>
      <c r="G26" s="3" t="n">
        <v>-117.660751534206</v>
      </c>
    </row>
    <row r="27">
      <c r="A27" t="inlineStr">
        <is>
          <t>R07</t>
        </is>
      </c>
      <c r="B27" t="n">
        <v>6</v>
      </c>
      <c r="C27" s="2" t="n">
        <v>1555</v>
      </c>
      <c r="D27" s="2" t="n">
        <v>323.33</v>
      </c>
      <c r="E27" s="2" t="n">
        <v>-976.67</v>
      </c>
      <c r="F27" s="3" t="n">
        <v>-62.80836012861736</v>
      </c>
      <c r="G27" s="3" t="n">
        <v>-302.0660006804193</v>
      </c>
    </row>
    <row r="28">
      <c r="A28" t="inlineStr">
        <is>
          <t>PE03</t>
        </is>
      </c>
      <c r="B28" t="n">
        <v>3</v>
      </c>
      <c r="C28" s="2" t="n">
        <v>1775</v>
      </c>
      <c r="D28" s="2" t="n">
        <v>18.4</v>
      </c>
      <c r="E28" s="2" t="n">
        <v>-1181.6</v>
      </c>
      <c r="F28" s="3" t="n">
        <v>-66.56901408450705</v>
      </c>
      <c r="G28" s="3" t="n">
        <v>-6421.739130434783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10" customWidth="1" min="4" max="4"/>
    <col width="12" customWidth="1" min="5" max="5"/>
    <col width="12" customWidth="1" min="6" max="6"/>
    <col width="50" customWidth="1" min="7" max="7"/>
  </cols>
  <sheetData>
    <row r="1">
      <c r="A1" s="4" t="inlineStr">
        <is>
          <t>HCPCS Code</t>
        </is>
      </c>
      <c r="B1" s="4" t="inlineStr">
        <is>
          <t>BOC Category</t>
        </is>
      </c>
      <c r="C1" s="4" t="inlineStr">
        <is>
          <t>Description</t>
        </is>
      </c>
      <c r="D1" s="4" t="inlineStr">
        <is>
          <t>Quantity</t>
        </is>
      </c>
      <c r="E1" s="4" t="inlineStr">
        <is>
          <t>Est Cost</t>
        </is>
      </c>
      <c r="F1" s="4" t="inlineStr">
        <is>
          <t>Total Cost</t>
        </is>
      </c>
      <c r="G1" s="4" t="inlineStr">
        <is>
          <t>Notes</t>
        </is>
      </c>
    </row>
    <row r="2">
      <c r="A2" t="inlineStr">
        <is>
          <t>A4554</t>
        </is>
      </c>
      <c r="B2" t="inlineStr">
        <is>
          <t>PD09</t>
        </is>
      </c>
      <c r="C2" t="inlineStr">
        <is>
          <t>DISPOSABLE UNDERPADS, ALL SIZES</t>
        </is>
      </c>
      <c r="D2" t="n">
        <v>2000</v>
      </c>
      <c r="E2" s="2" t="n">
        <v>0.125</v>
      </c>
      <c r="F2" s="2" t="n">
        <v>250</v>
      </c>
      <c r="G2" t="inlineStr">
        <is>
          <t>High-volume consumable - may have alternative coverage</t>
        </is>
      </c>
    </row>
    <row r="3">
      <c r="A3" t="inlineStr">
        <is>
          <t>A4520</t>
        </is>
      </c>
      <c r="B3" t="inlineStr">
        <is>
          <t>PD09</t>
        </is>
      </c>
      <c r="C3" t="inlineStr">
        <is>
          <t>INCONTINENCE GARMENT, ANY TYPE, (E.G., BRIEF, DIAPER), EACH</t>
        </is>
      </c>
      <c r="D3" t="n">
        <v>3000</v>
      </c>
      <c r="E3" s="2" t="n">
        <v>1.166666666666667</v>
      </c>
      <c r="F3" s="2" t="n">
        <v>3500</v>
      </c>
      <c r="G3" t="inlineStr">
        <is>
          <t>High-volume consumable - may have alternative coverage</t>
        </is>
      </c>
    </row>
    <row r="4">
      <c r="A4" t="inlineStr">
        <is>
          <t>L1820</t>
        </is>
      </c>
      <c r="B4" t="inlineStr">
        <is>
          <t>OR03</t>
        </is>
      </c>
      <c r="C4" t="inlineStr">
        <is>
          <t>Knee orthosis - soft interface</t>
        </is>
      </c>
      <c r="D4" t="n">
        <v>4</v>
      </c>
      <c r="E4" s="2" t="n">
        <v>65</v>
      </c>
      <c r="F4" s="2" t="n">
        <v>260</v>
      </c>
      <c r="G4" t="inlineStr">
        <is>
          <t>Private pay item - no Medicare coverage</t>
        </is>
      </c>
    </row>
    <row r="5">
      <c r="A5" t="inlineStr">
        <is>
          <t>L1810</t>
        </is>
      </c>
      <c r="B5" t="inlineStr">
        <is>
          <t>OR03</t>
        </is>
      </c>
      <c r="C5" t="inlineStr">
        <is>
          <t>Knee orthosis - elastic support</t>
        </is>
      </c>
      <c r="D5" t="n">
        <v>4</v>
      </c>
      <c r="E5" s="2" t="n">
        <v>45</v>
      </c>
      <c r="F5" s="2" t="n">
        <v>180</v>
      </c>
      <c r="G5" t="inlineStr">
        <is>
          <t>Private pay item - no Medicare coverage</t>
        </is>
      </c>
    </row>
    <row r="6">
      <c r="A6" t="inlineStr">
        <is>
          <t>E0198</t>
        </is>
      </c>
      <c r="B6" t="inlineStr">
        <is>
          <t>DM20</t>
        </is>
      </c>
      <c r="C6" t="inlineStr">
        <is>
          <t>Water pressure pad - standard mattress</t>
        </is>
      </c>
      <c r="D6" t="n">
        <v>4</v>
      </c>
      <c r="E6" s="2" t="n">
        <v>110</v>
      </c>
      <c r="F6" s="2" t="n">
        <v>440</v>
      </c>
      <c r="G6" t="inlineStr">
        <is>
          <t>Private pay item - no Medicare coverage</t>
        </is>
      </c>
    </row>
    <row r="7">
      <c r="A7" t="inlineStr">
        <is>
          <t>E0277</t>
        </is>
      </c>
      <c r="B7" t="inlineStr">
        <is>
          <t>DM20</t>
        </is>
      </c>
      <c r="C7" t="inlineStr">
        <is>
          <t>Low air loss mattress</t>
        </is>
      </c>
      <c r="D7" t="n">
        <v>1</v>
      </c>
      <c r="E7" s="2" t="n">
        <v>850</v>
      </c>
      <c r="F7" s="2" t="n">
        <v>850</v>
      </c>
      <c r="G7" t="inlineStr">
        <is>
          <t>Private pay item - no Medicare coverage</t>
        </is>
      </c>
    </row>
    <row r="8">
      <c r="A8" t="inlineStr">
        <is>
          <t>E0197</t>
        </is>
      </c>
      <c r="B8" t="inlineStr">
        <is>
          <t>DM20</t>
        </is>
      </c>
      <c r="C8" t="inlineStr">
        <is>
          <t>Air pressure pad - standard mattress</t>
        </is>
      </c>
      <c r="D8" t="n">
        <v>4</v>
      </c>
      <c r="E8" s="2" t="n">
        <v>95</v>
      </c>
      <c r="F8" s="2" t="n">
        <v>380</v>
      </c>
      <c r="G8" t="inlineStr">
        <is>
          <t>Private pay item - no Medicare coverage</t>
        </is>
      </c>
    </row>
    <row r="9">
      <c r="A9" t="inlineStr">
        <is>
          <t>E0186</t>
        </is>
      </c>
      <c r="B9" t="inlineStr">
        <is>
          <t>DM20</t>
        </is>
      </c>
      <c r="C9" t="inlineStr">
        <is>
          <t>Air pressure mattress</t>
        </is>
      </c>
      <c r="D9" t="n">
        <v>2</v>
      </c>
      <c r="E9" s="2" t="n">
        <v>450</v>
      </c>
      <c r="F9" s="2" t="n">
        <v>900</v>
      </c>
      <c r="G9" t="inlineStr">
        <is>
          <t>Private pay item - no Medicare coverage</t>
        </is>
      </c>
    </row>
    <row r="10">
      <c r="A10" t="inlineStr">
        <is>
          <t>E0196</t>
        </is>
      </c>
      <c r="B10" t="inlineStr">
        <is>
          <t>DM20</t>
        </is>
      </c>
      <c r="C10" t="inlineStr">
        <is>
          <t>Gel pressure pad - standard mattress</t>
        </is>
      </c>
      <c r="D10" t="n">
        <v>3</v>
      </c>
      <c r="E10" s="2" t="n">
        <v>125</v>
      </c>
      <c r="F10" s="2" t="n">
        <v>375</v>
      </c>
      <c r="G10" t="inlineStr">
        <is>
          <t>Private pay item - no Medicare coverage</t>
        </is>
      </c>
    </row>
    <row r="11">
      <c r="A11" t="inlineStr">
        <is>
          <t>E0221</t>
        </is>
      </c>
      <c r="B11" t="inlineStr">
        <is>
          <t>DM11</t>
        </is>
      </c>
      <c r="C11" t="inlineStr">
        <is>
          <t>Infrared heating pad system</t>
        </is>
      </c>
      <c r="D11" t="n">
        <v>3</v>
      </c>
      <c r="E11" s="2" t="n">
        <v>175</v>
      </c>
      <c r="F11" s="2" t="n">
        <v>525</v>
      </c>
      <c r="G11" t="inlineStr">
        <is>
          <t>Private pay item - no Medicare coverage</t>
        </is>
      </c>
    </row>
    <row r="12">
      <c r="A12" t="inlineStr">
        <is>
          <t>A4639</t>
        </is>
      </c>
      <c r="B12" t="inlineStr">
        <is>
          <t>DM11</t>
        </is>
      </c>
      <c r="C12" t="inlineStr">
        <is>
          <t>Infrared pad replacement</t>
        </is>
      </c>
      <c r="D12" t="n">
        <v>10</v>
      </c>
      <c r="E12" s="2" t="n">
        <v>25</v>
      </c>
      <c r="F12" s="2" t="n">
        <v>250</v>
      </c>
      <c r="G12" t="inlineStr">
        <is>
          <t>Private pay item - no Medicare coverage</t>
        </is>
      </c>
    </row>
    <row r="13">
      <c r="A13" t="inlineStr">
        <is>
          <t>E0236</t>
        </is>
      </c>
      <c r="B13" t="inlineStr">
        <is>
          <t>DM08</t>
        </is>
      </c>
      <c r="C13" t="inlineStr">
        <is>
          <t>Pump for water circulating pad</t>
        </is>
      </c>
      <c r="D13" t="n">
        <v>10</v>
      </c>
      <c r="E13" s="2" t="n">
        <v>45</v>
      </c>
      <c r="F13" s="2" t="n">
        <v>450</v>
      </c>
      <c r="G13" t="inlineStr">
        <is>
          <t>Private pay item - no Medicare coverage</t>
        </is>
      </c>
    </row>
    <row r="14">
      <c r="A14" t="inlineStr">
        <is>
          <t>E0230</t>
        </is>
      </c>
      <c r="B14" t="inlineStr">
        <is>
          <t>DM08</t>
        </is>
      </c>
      <c r="C14" t="inlineStr">
        <is>
          <t>Ice cap or collar</t>
        </is>
      </c>
      <c r="D14" t="n">
        <v>10</v>
      </c>
      <c r="E14" s="2" t="n">
        <v>15</v>
      </c>
      <c r="F14" s="2" t="n">
        <v>150</v>
      </c>
      <c r="G14" t="inlineStr">
        <is>
          <t>Private pay item - no Medicare coverage</t>
        </is>
      </c>
    </row>
    <row r="15">
      <c r="A15" t="inlineStr">
        <is>
          <t>E0235</t>
        </is>
      </c>
      <c r="B15" t="inlineStr">
        <is>
          <t>DM08</t>
        </is>
      </c>
      <c r="C15" t="inlineStr">
        <is>
          <t>Paraffin bath unit</t>
        </is>
      </c>
      <c r="D15" t="n">
        <v>1</v>
      </c>
      <c r="E15" s="2" t="n">
        <v>185</v>
      </c>
      <c r="F15" s="2" t="n">
        <v>185</v>
      </c>
      <c r="G15" t="inlineStr">
        <is>
          <t>Private pay item - no Medicare coverage</t>
        </is>
      </c>
    </row>
    <row r="16">
      <c r="A16" t="inlineStr">
        <is>
          <t>E0744</t>
        </is>
      </c>
      <c r="B16" t="inlineStr">
        <is>
          <t>DM16</t>
        </is>
      </c>
      <c r="C16" t="inlineStr">
        <is>
          <t>NMES device - orofacial</t>
        </is>
      </c>
      <c r="D16" t="n">
        <v>2</v>
      </c>
      <c r="E16" s="2" t="n">
        <v>250</v>
      </c>
      <c r="F16" s="2" t="n">
        <v>500</v>
      </c>
      <c r="G16" t="inlineStr">
        <is>
          <t>Private pay item - no Medicare coverage</t>
        </is>
      </c>
    </row>
    <row r="17">
      <c r="A17" t="inlineStr">
        <is>
          <t>E0745</t>
        </is>
      </c>
      <c r="B17" t="inlineStr">
        <is>
          <t>DM16</t>
        </is>
      </c>
      <c r="C17" t="inlineStr">
        <is>
          <t>NMES device - other</t>
        </is>
      </c>
      <c r="D17" t="n">
        <v>1</v>
      </c>
      <c r="E17" s="2" t="n">
        <v>300</v>
      </c>
      <c r="F17" s="2" t="n">
        <v>300</v>
      </c>
      <c r="G17" t="inlineStr">
        <is>
          <t>Private pay item - no Medicare coverage</t>
        </is>
      </c>
    </row>
    <row r="18">
      <c r="A18" t="inlineStr">
        <is>
          <t>A4595</t>
        </is>
      </c>
      <c r="B18" t="inlineStr">
        <is>
          <t>DM22</t>
        </is>
      </c>
      <c r="C18" t="inlineStr">
        <is>
          <t>TENS electrode pads</t>
        </is>
      </c>
      <c r="D18" t="n">
        <v>80</v>
      </c>
      <c r="E18" s="2" t="n">
        <v>8</v>
      </c>
      <c r="F18" s="2" t="n">
        <v>640</v>
      </c>
      <c r="G18" t="inlineStr">
        <is>
          <t>Private pay item - no Medicare coverage</t>
        </is>
      </c>
    </row>
    <row r="19">
      <c r="A19" t="inlineStr">
        <is>
          <t>E1011</t>
        </is>
      </c>
      <c r="B19" t="inlineStr">
        <is>
          <t>M06A</t>
        </is>
      </c>
      <c r="C19" t="inlineStr">
        <is>
          <t>MODIFICATION TO PEDIATRIC SIZE WHEELCHAIR, WIDTH ADJUSTMENT PACKAGE (NOT TO BE DISPENSED WITH INITIAL CHAIR)</t>
        </is>
      </c>
      <c r="D19" t="n">
        <v>2</v>
      </c>
      <c r="E19" s="2" t="n">
        <v>37.65557142857143</v>
      </c>
      <c r="F19" s="2" t="n">
        <v>75.31114285714285</v>
      </c>
      <c r="G19" t="inlineStr">
        <is>
          <t>Private pay item - no Medicare coverage</t>
        </is>
      </c>
    </row>
    <row r="20">
      <c r="A20" t="inlineStr">
        <is>
          <t>E2230</t>
        </is>
      </c>
      <c r="B20" t="inlineStr">
        <is>
          <t>M06A</t>
        </is>
      </c>
      <c r="C20" t="inlineStr">
        <is>
          <t>MANUAL WHEELCHAIR ACCESSORY, MANUAL STANDING SYSTEM</t>
        </is>
      </c>
      <c r="D20" t="n">
        <v>2</v>
      </c>
      <c r="E20" s="2" t="n">
        <v>37.65557142857143</v>
      </c>
      <c r="F20" s="2" t="n">
        <v>75.31114285714285</v>
      </c>
      <c r="G20" t="inlineStr">
        <is>
          <t>Private pay item - no Medicare coverage</t>
        </is>
      </c>
    </row>
    <row r="21">
      <c r="A21" t="inlineStr">
        <is>
          <t>A6561</t>
        </is>
      </c>
      <c r="B21" t="inlineStr">
        <is>
          <t>S04</t>
        </is>
      </c>
      <c r="C21" t="inlineStr">
        <is>
          <t>GRADIENT COMPRESSION STOCKING, FULL LENGTH/CHAP STYLE, 40 MMHG OR GREATER, CUSTOM, EACH</t>
        </is>
      </c>
      <c r="D21" t="n">
        <v>2</v>
      </c>
      <c r="E21" s="2" t="n">
        <v>156.5327142857143</v>
      </c>
      <c r="F21" s="2" t="n">
        <v>313.0654285714285</v>
      </c>
      <c r="G21" t="inlineStr">
        <is>
          <t>High-volume consumable - may have alternative coverage</t>
        </is>
      </c>
    </row>
    <row r="22">
      <c r="A22" t="inlineStr">
        <is>
          <t>A6213</t>
        </is>
      </c>
      <c r="B22" t="inlineStr">
        <is>
          <t>S01</t>
        </is>
      </c>
      <c r="C22" t="inlineStr">
        <is>
          <t>FOAM DRESSING, WOUND COVER, STERILE, PAD SIZE MORE THAN 16 SQ. IN. BUT LESS THAN OR EQUAL TO 48 SQ. IN., WITH ANY SIZE ADHESIVE BORDER, EACH DRESSING</t>
        </is>
      </c>
      <c r="D22" t="n">
        <v>2</v>
      </c>
      <c r="E22" s="2" t="n">
        <v>14.31505617977528</v>
      </c>
      <c r="F22" s="2" t="n">
        <v>28.63011235955056</v>
      </c>
      <c r="G22" t="inlineStr">
        <is>
          <t>Private pay item - no Medicare coverage</t>
        </is>
      </c>
    </row>
    <row r="23">
      <c r="A23" t="inlineStr">
        <is>
          <t>A6228</t>
        </is>
      </c>
      <c r="B23" t="inlineStr">
        <is>
          <t>S01</t>
        </is>
      </c>
      <c r="C23" t="inlineStr">
        <is>
          <t>GAUZE, IMPREGNATED, WATER OR NORMAL SALINE, STERILE, PAD SIZE 16 SQ. IN. OR LESS, WITHOUT ADHESIVE BORDER, EACH DRESSING</t>
        </is>
      </c>
      <c r="D23" t="n">
        <v>2</v>
      </c>
      <c r="E23" s="2" t="n">
        <v>14.31505617977528</v>
      </c>
      <c r="F23" s="2" t="n">
        <v>28.63011235955056</v>
      </c>
      <c r="G23" t="inlineStr">
        <is>
          <t>Private pay item - no Medicare coverage</t>
        </is>
      </c>
    </row>
    <row r="24">
      <c r="A24" t="inlineStr">
        <is>
          <t>A6230</t>
        </is>
      </c>
      <c r="B24" t="inlineStr">
        <is>
          <t>S01</t>
        </is>
      </c>
      <c r="C24" t="inlineStr">
        <is>
          <t>GAUZE, IMPREGNATED, WATER OR NORMAL SALINE, STERILE, PAD SIZE MORE THAN 48 SQ. IN., WITHOUT ADHESIVE BORDER, EACH DRESSING</t>
        </is>
      </c>
      <c r="D24" t="n">
        <v>2</v>
      </c>
      <c r="E24" s="2" t="n">
        <v>14.31505617977528</v>
      </c>
      <c r="F24" s="2" t="n">
        <v>28.63011235955056</v>
      </c>
      <c r="G24" t="inlineStr">
        <is>
          <t>Private pay item - no Medicare coverage</t>
        </is>
      </c>
    </row>
    <row r="25">
      <c r="A25" t="inlineStr">
        <is>
          <t>A4557</t>
        </is>
      </c>
      <c r="B25" t="inlineStr">
        <is>
          <t>DM22</t>
        </is>
      </c>
      <c r="C25" t="inlineStr">
        <is>
          <t>TENS lead wires</t>
        </is>
      </c>
      <c r="D25" t="n">
        <v>15</v>
      </c>
      <c r="E25" s="2" t="n">
        <v>12</v>
      </c>
      <c r="F25" s="2" t="n">
        <v>180</v>
      </c>
      <c r="G25" t="inlineStr">
        <is>
          <t>Private pay item - no Medicare coverage</t>
        </is>
      </c>
    </row>
    <row r="26">
      <c r="A26" t="inlineStr">
        <is>
          <t>K0108</t>
        </is>
      </c>
      <c r="B26" t="inlineStr">
        <is>
          <t>M06A</t>
        </is>
      </c>
      <c r="C26" t="inlineStr">
        <is>
          <t>WHEELCHAIR COMPONENT OR ACCESSORY, NOT OTHERWISE SPECIFIED</t>
        </is>
      </c>
      <c r="D26" t="n">
        <v>2</v>
      </c>
      <c r="E26" s="2" t="n">
        <v>37.65557142857143</v>
      </c>
      <c r="F26" s="2" t="n">
        <v>75.31114285714285</v>
      </c>
      <c r="G26" t="inlineStr">
        <is>
          <t>Private pay item - no Medicare coverage</t>
        </is>
      </c>
    </row>
    <row r="27">
      <c r="A27" t="inlineStr">
        <is>
          <t>E1017</t>
        </is>
      </c>
      <c r="B27" t="inlineStr">
        <is>
          <t>M06A</t>
        </is>
      </c>
      <c r="C27" t="inlineStr">
        <is>
          <t>HEAVY DUTY SHOCK ABSORBER FOR HEAVY DUTY OR EXTRA HEAVY DUTY MANUAL WHEELCHAIR, EACH</t>
        </is>
      </c>
      <c r="D27" t="n">
        <v>2</v>
      </c>
      <c r="E27" s="2" t="n">
        <v>37.65557142857143</v>
      </c>
      <c r="F27" s="2" t="n">
        <v>75.31114285714285</v>
      </c>
      <c r="G27" t="inlineStr">
        <is>
          <t>Private pay item - no Medicare coverage</t>
        </is>
      </c>
    </row>
    <row r="28">
      <c r="A28" t="inlineStr">
        <is>
          <t>E0165</t>
        </is>
      </c>
      <c r="B28" t="inlineStr">
        <is>
          <t>DM02</t>
        </is>
      </c>
      <c r="C28" t="inlineStr">
        <is>
          <t>Commode chair - detachable arms</t>
        </is>
      </c>
      <c r="D28" t="n">
        <v>4</v>
      </c>
      <c r="E28" s="2" t="n">
        <v>175</v>
      </c>
      <c r="F28" s="2" t="n">
        <v>700</v>
      </c>
      <c r="G28" t="inlineStr">
        <is>
          <t>Private pay item - no Medicare coverage</t>
        </is>
      </c>
    </row>
    <row r="29">
      <c r="A29" t="inlineStr">
        <is>
          <t>E2001</t>
        </is>
      </c>
      <c r="B29" t="inlineStr">
        <is>
          <t>DM29</t>
        </is>
      </c>
      <c r="C29" t="inlineStr">
        <is>
          <t>Suction pump - portable</t>
        </is>
      </c>
      <c r="D29" t="n">
        <v>3</v>
      </c>
      <c r="E29" s="2" t="n">
        <v>350</v>
      </c>
      <c r="F29" s="2" t="n">
        <v>1050</v>
      </c>
      <c r="G29" t="inlineStr">
        <is>
          <t>Private pay item - no Medicare coverage</t>
        </is>
      </c>
    </row>
    <row r="30">
      <c r="A30" t="inlineStr">
        <is>
          <t>E0572</t>
        </is>
      </c>
      <c r="B30" t="inlineStr">
        <is>
          <t>R07</t>
        </is>
      </c>
      <c r="C30" t="inlineStr">
        <is>
          <t>Nebulizer - aerosol compressor</t>
        </is>
      </c>
      <c r="D30" t="n">
        <v>3</v>
      </c>
      <c r="E30" s="2" t="n">
        <v>85</v>
      </c>
      <c r="F30" s="2" t="n">
        <v>255</v>
      </c>
      <c r="G30" t="inlineStr">
        <is>
          <t>Private pay item - no Medicare coverage</t>
        </is>
      </c>
    </row>
    <row r="31">
      <c r="A31" t="inlineStr">
        <is>
          <t>L3702</t>
        </is>
      </c>
      <c r="B31" t="inlineStr">
        <is>
          <t>OR03</t>
        </is>
      </c>
      <c r="C31" t="inlineStr">
        <is>
          <t>Elbow orthosis - without joints</t>
        </is>
      </c>
      <c r="D31" t="n">
        <v>3</v>
      </c>
      <c r="E31" s="2" t="n">
        <v>40</v>
      </c>
      <c r="F31" s="2" t="n">
        <v>120</v>
      </c>
      <c r="G31" t="inlineStr">
        <is>
          <t>Private pay item - no Medicare coverage</t>
        </is>
      </c>
    </row>
    <row r="32">
      <c r="A32" t="inlineStr">
        <is>
          <t>B4160</t>
        </is>
      </c>
      <c r="B32" t="inlineStr">
        <is>
          <t>PE03</t>
        </is>
      </c>
      <c r="C32" t="inlineStr">
        <is>
          <t>Enteral formula - pediatric</t>
        </is>
      </c>
      <c r="D32" t="n">
        <v>10</v>
      </c>
      <c r="E32" s="2" t="n">
        <v>35</v>
      </c>
      <c r="F32" s="2" t="n">
        <v>350</v>
      </c>
      <c r="G32" t="inlineStr">
        <is>
          <t>Private pay item - no Medicare coverage</t>
        </is>
      </c>
    </row>
    <row r="33">
      <c r="A33" t="inlineStr">
        <is>
          <t>B4161</t>
        </is>
      </c>
      <c r="B33" t="inlineStr">
        <is>
          <t>PE03</t>
        </is>
      </c>
      <c r="C33" t="inlineStr">
        <is>
          <t>Enteral formula - specialized infant</t>
        </is>
      </c>
      <c r="D33" t="n">
        <v>5</v>
      </c>
      <c r="E33" s="2" t="n">
        <v>45</v>
      </c>
      <c r="F33" s="2" t="n">
        <v>225</v>
      </c>
      <c r="G33" t="inlineStr">
        <is>
          <t>Private pay item - no Medicare coverage</t>
        </is>
      </c>
    </row>
    <row r="34">
      <c r="A34" t="inlineStr">
        <is>
          <t>E0781</t>
        </is>
      </c>
      <c r="B34" t="inlineStr">
        <is>
          <t>DM12</t>
        </is>
      </c>
      <c r="C34" t="inlineStr">
        <is>
          <t>Ambulatory infusion pump</t>
        </is>
      </c>
      <c r="D34" t="n">
        <v>2</v>
      </c>
      <c r="E34" s="2" t="n">
        <v>450</v>
      </c>
      <c r="F34" s="2" t="n">
        <v>900</v>
      </c>
      <c r="G34" t="inlineStr">
        <is>
          <t>Private pay item - no Medicare coverage</t>
        </is>
      </c>
    </row>
    <row r="35">
      <c r="A35" t="inlineStr">
        <is>
          <t>E0779</t>
        </is>
      </c>
      <c r="B35" t="inlineStr">
        <is>
          <t>DM12</t>
        </is>
      </c>
      <c r="C35" t="inlineStr">
        <is>
          <t>Stationary infusion pump</t>
        </is>
      </c>
      <c r="D35" t="n">
        <v>1</v>
      </c>
      <c r="E35" s="2" t="n">
        <v>650</v>
      </c>
      <c r="F35" s="2" t="n">
        <v>650</v>
      </c>
      <c r="G35" t="inlineStr">
        <is>
          <t>Private pay item - no Medicare coverage</t>
        </is>
      </c>
    </row>
    <row r="36">
      <c r="A36" t="inlineStr">
        <is>
          <t>A4305</t>
        </is>
      </c>
      <c r="B36" t="inlineStr">
        <is>
          <t>DM12</t>
        </is>
      </c>
      <c r="C36" t="inlineStr">
        <is>
          <t>Infusion pump supply - drug cassette</t>
        </is>
      </c>
      <c r="D36" t="n">
        <v>10</v>
      </c>
      <c r="E36" s="2" t="n">
        <v>25</v>
      </c>
      <c r="F36" s="2" t="n">
        <v>250</v>
      </c>
      <c r="G36" t="inlineStr">
        <is>
          <t>Private pay item - no Medicare coverage</t>
        </is>
      </c>
    </row>
    <row r="37">
      <c r="A37" t="inlineStr">
        <is>
          <t>A4306</t>
        </is>
      </c>
      <c r="B37" t="inlineStr">
        <is>
          <t>DM12</t>
        </is>
      </c>
      <c r="C37" t="inlineStr">
        <is>
          <t>Infusion pump supply - administration set</t>
        </is>
      </c>
      <c r="D37" t="n">
        <v>10</v>
      </c>
      <c r="E37" s="2" t="n">
        <v>15</v>
      </c>
      <c r="F37" s="2" t="n">
        <v>150</v>
      </c>
      <c r="G37" t="inlineStr">
        <is>
          <t>Private pay item - no Medicare coverage</t>
        </is>
      </c>
    </row>
    <row r="38">
      <c r="A38" t="inlineStr">
        <is>
          <t>E2402</t>
        </is>
      </c>
      <c r="B38" t="inlineStr">
        <is>
          <t>DM15</t>
        </is>
      </c>
      <c r="C38" t="inlineStr">
        <is>
          <t>Negative pressure wound therapy pump</t>
        </is>
      </c>
      <c r="D38" t="n">
        <v>1</v>
      </c>
      <c r="E38" s="2" t="n">
        <v>850</v>
      </c>
      <c r="F38" s="2" t="n">
        <v>850</v>
      </c>
      <c r="G38" t="inlineStr">
        <is>
          <t>Private pay item - no Medicare coverage</t>
        </is>
      </c>
    </row>
    <row r="39">
      <c r="A39" t="inlineStr">
        <is>
          <t>E0855</t>
        </is>
      </c>
      <c r="B39" t="inlineStr">
        <is>
          <t>DM21</t>
        </is>
      </c>
      <c r="C39" t="inlineStr">
        <is>
          <t>Cervical traction equipment</t>
        </is>
      </c>
      <c r="D39" t="n">
        <v>2</v>
      </c>
      <c r="E39" s="2" t="n">
        <v>185</v>
      </c>
      <c r="F39" s="2" t="n">
        <v>370</v>
      </c>
      <c r="G39" t="inlineStr">
        <is>
          <t>Private pay item - no Medicare coverage</t>
        </is>
      </c>
    </row>
    <row r="40">
      <c r="A40" t="inlineStr">
        <is>
          <t>E0830</t>
        </is>
      </c>
      <c r="B40" t="inlineStr">
        <is>
          <t>DM21</t>
        </is>
      </c>
      <c r="C40" t="inlineStr">
        <is>
          <t>Ambulatory traction device</t>
        </is>
      </c>
      <c r="D40" t="n">
        <v>1</v>
      </c>
      <c r="E40" s="2" t="n">
        <v>125</v>
      </c>
      <c r="F40" s="2" t="n">
        <v>125</v>
      </c>
      <c r="G40" t="inlineStr">
        <is>
          <t>Private pay item - no Medicare coverage</t>
        </is>
      </c>
    </row>
    <row r="41">
      <c r="A41" t="inlineStr">
        <is>
          <t>A4483</t>
        </is>
      </c>
      <c r="B41" t="inlineStr">
        <is>
          <t>PD08</t>
        </is>
      </c>
      <c r="C41" t="inlineStr">
        <is>
          <t>Tracheostomy moisture exchanger</t>
        </is>
      </c>
      <c r="D41" t="n">
        <v>15</v>
      </c>
      <c r="E41" s="2" t="n">
        <v>12</v>
      </c>
      <c r="F41" s="2" t="n">
        <v>180</v>
      </c>
      <c r="G41" t="inlineStr">
        <is>
          <t>Private pay item - no Medicare coverage</t>
        </is>
      </c>
    </row>
    <row r="42">
      <c r="A42" t="inlineStr">
        <is>
          <t>E1229</t>
        </is>
      </c>
      <c r="B42" t="inlineStr">
        <is>
          <t>M06</t>
        </is>
      </c>
      <c r="C42" t="inlineStr">
        <is>
          <t>WHEELCHAIR, PEDIATRIC SIZE, NOT OTHERWISE SPECIFIED</t>
        </is>
      </c>
      <c r="D42" t="n">
        <v>1</v>
      </c>
      <c r="E42" s="2" t="n">
        <v>32.70218181818181</v>
      </c>
      <c r="F42" s="2" t="n">
        <v>32.70218181818181</v>
      </c>
      <c r="G42" t="inlineStr">
        <is>
          <t>Private pay item - no Medicare coverage</t>
        </is>
      </c>
    </row>
    <row r="43">
      <c r="A43" t="inlineStr">
        <is>
          <t>A9900</t>
        </is>
      </c>
      <c r="B43" t="inlineStr">
        <is>
          <t>M05</t>
        </is>
      </c>
      <c r="C43" t="inlineStr">
        <is>
          <t>MISCELLANEOUS DME SUPPLY, ACCESSORY, AND/OR SERVICE COMPONENT OF ANOTHER HCPCS CODE</t>
        </is>
      </c>
      <c r="D43" t="n">
        <v>1</v>
      </c>
      <c r="E43" s="2" t="n">
        <v>40.22362500000001</v>
      </c>
      <c r="F43" s="2" t="n">
        <v>40.22362500000001</v>
      </c>
      <c r="G43" t="inlineStr">
        <is>
          <t>Private pay item - no Medicare coverage</t>
        </is>
      </c>
    </row>
    <row r="44">
      <c r="A44" t="inlineStr">
        <is>
          <t>K0008</t>
        </is>
      </c>
      <c r="B44" t="inlineStr">
        <is>
          <t>M06</t>
        </is>
      </c>
      <c r="C44" t="inlineStr">
        <is>
          <t>CUSTOM MANUAL WHEELCHAIR/BASE</t>
        </is>
      </c>
      <c r="D44" t="n">
        <v>1</v>
      </c>
      <c r="E44" s="2" t="n">
        <v>32.70218181818181</v>
      </c>
      <c r="F44" s="2" t="n">
        <v>32.70218181818181</v>
      </c>
      <c r="G44" t="inlineStr">
        <is>
          <t>Private pay item - no Medicare coverage</t>
        </is>
      </c>
    </row>
    <row r="45">
      <c r="A45" t="inlineStr">
        <is>
          <t>E0118</t>
        </is>
      </c>
      <c r="B45" t="inlineStr">
        <is>
          <t>M01</t>
        </is>
      </c>
      <c r="C45" t="inlineStr">
        <is>
          <t>CRUTCH SUBSTITUTE, LOWER LEG PLATFORM, WITH OR WITHOUT WHEELS, EACH</t>
        </is>
      </c>
      <c r="D45" t="n">
        <v>1</v>
      </c>
      <c r="E45" s="2" t="n">
        <v>27.22846153846153</v>
      </c>
      <c r="F45" s="2" t="n">
        <v>27.22846153846153</v>
      </c>
      <c r="G45" t="inlineStr">
        <is>
          <t>Private pay item - no Medicare coverage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10" customWidth="1" min="4" max="4"/>
    <col width="12" customWidth="1" min="5" max="5"/>
    <col width="12" customWidth="1" min="6" max="6"/>
    <col width="25" customWidth="1" min="7" max="7"/>
    <col width="10" customWidth="1" min="8" max="8"/>
  </cols>
  <sheetData>
    <row r="1">
      <c r="A1" s="4" t="inlineStr">
        <is>
          <t>HCPCS Code</t>
        </is>
      </c>
      <c r="B1" s="4" t="inlineStr">
        <is>
          <t>BOC Category</t>
        </is>
      </c>
      <c r="C1" s="4" t="inlineStr">
        <is>
          <t>Description</t>
        </is>
      </c>
      <c r="D1" s="4" t="inlineStr">
        <is>
          <t>Quantity</t>
        </is>
      </c>
      <c r="E1" s="4" t="inlineStr">
        <is>
          <t>Est Cost</t>
        </is>
      </c>
      <c r="F1" s="4" t="inlineStr">
        <is>
          <t>Total Cost</t>
        </is>
      </c>
      <c r="G1" s="4" t="inlineStr">
        <is>
          <t>Customer</t>
        </is>
      </c>
      <c r="H1" s="4" t="inlineStr">
        <is>
          <t>Priority</t>
        </is>
      </c>
    </row>
    <row r="2">
      <c r="A2" t="inlineStr">
        <is>
          <t>L4361</t>
        </is>
      </c>
      <c r="B2" t="inlineStr">
        <is>
          <t>OR03</t>
        </is>
      </c>
      <c r="C2" t="inlineStr">
        <is>
          <t>Walking boot - pneumatic/vacuum (CAM WALKER)</t>
        </is>
      </c>
      <c r="D2" t="n">
        <v>6</v>
      </c>
      <c r="E2" s="2" t="n">
        <v>70</v>
      </c>
      <c r="F2" s="2" t="n">
        <v>420</v>
      </c>
      <c r="G2" t="inlineStr">
        <is>
          <t>DR_NAS</t>
        </is>
      </c>
      <c r="H2" t="n">
        <v>100</v>
      </c>
    </row>
    <row r="3">
      <c r="A3" t="inlineStr">
        <is>
          <t>E0607</t>
        </is>
      </c>
      <c r="B3" t="inlineStr">
        <is>
          <t>DM06</t>
        </is>
      </c>
      <c r="C3" t="inlineStr">
        <is>
          <t>HOME BLOOD GLUCOSE MONITOR</t>
        </is>
      </c>
      <c r="D3" t="n">
        <v>25</v>
      </c>
      <c r="E3" s="2" t="n">
        <v>100</v>
      </c>
      <c r="F3" s="2" t="n">
        <v>2500</v>
      </c>
      <c r="G3" t="inlineStr">
        <is>
          <t>MOYHINOR, WALTERS</t>
        </is>
      </c>
      <c r="H3" t="n">
        <v>90</v>
      </c>
    </row>
    <row r="4">
      <c r="A4" t="inlineStr">
        <is>
          <t>L4370</t>
        </is>
      </c>
      <c r="B4" t="inlineStr">
        <is>
          <t>OR03</t>
        </is>
      </c>
      <c r="C4" t="inlineStr">
        <is>
          <t>Pneumatic full leg splint</t>
        </is>
      </c>
      <c r="D4" t="n">
        <v>2</v>
      </c>
      <c r="E4" s="2" t="n">
        <v>110</v>
      </c>
      <c r="F4" s="2" t="n">
        <v>220</v>
      </c>
      <c r="G4" t="inlineStr">
        <is>
          <t>DR_NAS</t>
        </is>
      </c>
      <c r="H4" t="n">
        <v>80</v>
      </c>
    </row>
    <row r="5">
      <c r="A5" t="inlineStr">
        <is>
          <t>L1906</t>
        </is>
      </c>
      <c r="B5" t="inlineStr">
        <is>
          <t>OR03</t>
        </is>
      </c>
      <c r="C5" t="inlineStr">
        <is>
          <t>AFO - multiligamentous ankle support</t>
        </is>
      </c>
      <c r="D5" t="n">
        <v>6</v>
      </c>
      <c r="E5" s="2" t="n">
        <v>80</v>
      </c>
      <c r="F5" s="2" t="n">
        <v>480</v>
      </c>
      <c r="G5" t="inlineStr">
        <is>
          <t>DR_NAS</t>
        </is>
      </c>
      <c r="H5" t="n">
        <v>80</v>
      </c>
    </row>
    <row r="6">
      <c r="A6" t="inlineStr">
        <is>
          <t>L4387</t>
        </is>
      </c>
      <c r="B6" t="inlineStr">
        <is>
          <t>OR03</t>
        </is>
      </c>
      <c r="C6" t="inlineStr">
        <is>
          <t>Walking boot - non-pneumatic</t>
        </is>
      </c>
      <c r="D6" t="n">
        <v>2</v>
      </c>
      <c r="E6" s="2" t="n">
        <v>135</v>
      </c>
      <c r="F6" s="2" t="n">
        <v>270</v>
      </c>
      <c r="G6" t="inlineStr">
        <is>
          <t>DR_NAS</t>
        </is>
      </c>
      <c r="H6" t="n">
        <v>80</v>
      </c>
    </row>
    <row r="7">
      <c r="A7" t="inlineStr">
        <is>
          <t>L1902</t>
        </is>
      </c>
      <c r="B7" t="inlineStr">
        <is>
          <t>OR03</t>
        </is>
      </c>
      <c r="C7" t="inlineStr">
        <is>
          <t>ANKLE ORTHOSIS, ANKLE GAUNTLET OR SIMILAR, WITH OR WITHOUT JOINTS, PREFABRICATED, OFF-THE-SHELF</t>
        </is>
      </c>
      <c r="D7" t="n">
        <v>20</v>
      </c>
      <c r="E7" s="2" t="n">
        <v>40</v>
      </c>
      <c r="F7" s="2" t="n">
        <v>800</v>
      </c>
      <c r="G7" t="inlineStr">
        <is>
          <t>DR_NAS</t>
        </is>
      </c>
      <c r="H7" t="n">
        <v>80</v>
      </c>
    </row>
    <row r="8">
      <c r="A8" t="inlineStr">
        <is>
          <t>L4350</t>
        </is>
      </c>
      <c r="B8" t="inlineStr">
        <is>
          <t>OR03</t>
        </is>
      </c>
      <c r="C8" t="inlineStr">
        <is>
          <t>Ankle control orthosis, stirrup style</t>
        </is>
      </c>
      <c r="D8" t="n">
        <v>2</v>
      </c>
      <c r="E8" s="2" t="n">
        <v>80</v>
      </c>
      <c r="F8" s="2" t="n">
        <v>160</v>
      </c>
      <c r="G8" t="inlineStr">
        <is>
          <t>DR_NAS</t>
        </is>
      </c>
      <c r="H8" t="n">
        <v>80</v>
      </c>
    </row>
    <row r="9">
      <c r="A9" t="inlineStr">
        <is>
          <t>E2103</t>
        </is>
      </c>
      <c r="B9" t="inlineStr">
        <is>
          <t>DM06</t>
        </is>
      </c>
      <c r="C9" t="inlineStr">
        <is>
          <t>Freestyle Libre CGM Reader</t>
        </is>
      </c>
      <c r="D9" t="n">
        <v>5</v>
      </c>
      <c r="E9" s="2" t="n">
        <v>400</v>
      </c>
      <c r="F9" s="2" t="n">
        <v>2000</v>
      </c>
      <c r="G9" t="inlineStr">
        <is>
          <t>MOYHINOR (CGM_STRATEGY)</t>
        </is>
      </c>
      <c r="H9" t="n">
        <v>70</v>
      </c>
    </row>
    <row r="10">
      <c r="A10" t="inlineStr">
        <is>
          <t>E2103</t>
        </is>
      </c>
      <c r="B10" t="inlineStr">
        <is>
          <t>DM06</t>
        </is>
      </c>
      <c r="C10" t="inlineStr">
        <is>
          <t>Dexcom G7 CGM Receiver</t>
        </is>
      </c>
      <c r="D10" t="n">
        <v>5</v>
      </c>
      <c r="E10" s="2" t="n">
        <v>400</v>
      </c>
      <c r="F10" s="2" t="n">
        <v>2000</v>
      </c>
      <c r="G10" t="inlineStr">
        <is>
          <t>MOYHINOR (CGM_STRATEGY)</t>
        </is>
      </c>
      <c r="H10" t="n">
        <v>70</v>
      </c>
    </row>
    <row r="11">
      <c r="A11" t="inlineStr">
        <is>
          <t>E0130</t>
        </is>
      </c>
      <c r="B11" t="inlineStr">
        <is>
          <t>M05</t>
        </is>
      </c>
      <c r="C11" t="inlineStr">
        <is>
          <t>WALKER, RIGID (PICKUP), ADJUSTABLE OR FIXED HEIGHT</t>
        </is>
      </c>
      <c r="D11" t="n">
        <v>5</v>
      </c>
      <c r="E11" s="2" t="n">
        <v>100</v>
      </c>
      <c r="F11" s="2" t="n">
        <v>500</v>
      </c>
      <c r="G11" t="inlineStr">
        <is>
          <t>RAMBOM</t>
        </is>
      </c>
      <c r="H11" t="n">
        <v>70</v>
      </c>
    </row>
    <row r="12">
      <c r="A12" t="inlineStr">
        <is>
          <t>E0143</t>
        </is>
      </c>
      <c r="B12" t="inlineStr">
        <is>
          <t>M05</t>
        </is>
      </c>
      <c r="C12" t="inlineStr">
        <is>
          <t>WALKER, FOLDING, WHEELED, ADJUSTABLE OR FIXED HEIGHT</t>
        </is>
      </c>
      <c r="D12" t="n">
        <v>3</v>
      </c>
      <c r="E12" s="2" t="n">
        <v>200</v>
      </c>
      <c r="F12" s="2" t="n">
        <v>600</v>
      </c>
      <c r="G12" t="inlineStr">
        <is>
          <t>RAMBOM</t>
        </is>
      </c>
      <c r="H12" t="n">
        <v>70</v>
      </c>
    </row>
    <row r="13">
      <c r="A13" t="inlineStr">
        <is>
          <t>A4239</t>
        </is>
      </c>
      <c r="B13" t="inlineStr">
        <is>
          <t>DM06</t>
        </is>
      </c>
      <c r="C13" t="inlineStr">
        <is>
          <t>Freestyle Libre CGM Sensors, 30-day</t>
        </is>
      </c>
      <c r="D13" t="n">
        <v>10</v>
      </c>
      <c r="E13" s="2" t="n">
        <v>70</v>
      </c>
      <c r="F13" s="2" t="n">
        <v>700</v>
      </c>
      <c r="G13" t="inlineStr">
        <is>
          <t>MOYHINOR (CGM_STRATEGY)</t>
        </is>
      </c>
      <c r="H13" t="n">
        <v>70</v>
      </c>
    </row>
    <row r="14">
      <c r="A14" t="inlineStr">
        <is>
          <t>A4239</t>
        </is>
      </c>
      <c r="B14" t="inlineStr">
        <is>
          <t>DM06</t>
        </is>
      </c>
      <c r="C14" t="inlineStr">
        <is>
          <t>Dexcom G7 CGM Sensors, 30-day</t>
        </is>
      </c>
      <c r="D14" t="n">
        <v>10</v>
      </c>
      <c r="E14" s="2" t="n">
        <v>90</v>
      </c>
      <c r="F14" s="2" t="n">
        <v>900</v>
      </c>
      <c r="G14" t="inlineStr">
        <is>
          <t>MOYHINOR (CGM_STRATEGY)</t>
        </is>
      </c>
      <c r="H14" t="n">
        <v>70</v>
      </c>
    </row>
    <row r="15">
      <c r="A15" t="inlineStr">
        <is>
          <t>A4253</t>
        </is>
      </c>
      <c r="B15" t="inlineStr">
        <is>
          <t>DM06</t>
        </is>
      </c>
      <c r="C15" t="inlineStr">
        <is>
          <t>BLOOD GLUCOSE TEST OR REAGENT STRIPS FOR HOME BLOOD GLUCOSE MONITOR, PER 50 STRIPS</t>
        </is>
      </c>
      <c r="D15" t="n">
        <v>1500</v>
      </c>
      <c r="E15" s="2" t="n">
        <v>0.5</v>
      </c>
      <c r="F15" s="2" t="n">
        <v>750</v>
      </c>
      <c r="G15" t="inlineStr">
        <is>
          <t>WALTERS</t>
        </is>
      </c>
      <c r="H15" t="n">
        <v>70</v>
      </c>
    </row>
    <row r="16">
      <c r="A16" t="inlineStr">
        <is>
          <t>K0001</t>
        </is>
      </c>
      <c r="B16" t="inlineStr">
        <is>
          <t>M06</t>
        </is>
      </c>
      <c r="C16" t="inlineStr">
        <is>
          <t>STANDARD WHEELCHAIR</t>
        </is>
      </c>
      <c r="D16" t="n">
        <v>2</v>
      </c>
      <c r="E16" s="2" t="n">
        <v>400</v>
      </c>
      <c r="F16" s="2" t="n">
        <v>800</v>
      </c>
      <c r="G16" t="inlineStr">
        <is>
          <t>MOYHINOR</t>
        </is>
      </c>
      <c r="H16" t="n">
        <v>70</v>
      </c>
    </row>
    <row r="17">
      <c r="A17" t="inlineStr">
        <is>
          <t>A4259</t>
        </is>
      </c>
      <c r="B17" t="inlineStr">
        <is>
          <t>DM06</t>
        </is>
      </c>
      <c r="C17" t="inlineStr">
        <is>
          <t>LANCETS, PER BOX OF 100</t>
        </is>
      </c>
      <c r="D17" t="n">
        <v>1000</v>
      </c>
      <c r="E17" s="2" t="n">
        <v>0.2</v>
      </c>
      <c r="F17" s="2" t="n">
        <v>200</v>
      </c>
      <c r="G17" t="inlineStr">
        <is>
          <t>WALTERS</t>
        </is>
      </c>
      <c r="H17" t="n">
        <v>70</v>
      </c>
    </row>
    <row r="18">
      <c r="A18" t="inlineStr">
        <is>
          <t>E0570</t>
        </is>
      </c>
      <c r="B18" t="inlineStr">
        <is>
          <t>R07</t>
        </is>
      </c>
      <c r="C18" t="inlineStr">
        <is>
          <t>NEBULIZER, WITH COMPRESSOR</t>
        </is>
      </c>
      <c r="D18" t="n">
        <v>6</v>
      </c>
      <c r="E18" s="2" t="n">
        <v>150</v>
      </c>
      <c r="F18" s="2" t="n">
        <v>900</v>
      </c>
      <c r="G18" t="inlineStr">
        <is>
          <t>RAMBOM</t>
        </is>
      </c>
      <c r="H18" t="n">
        <v>60</v>
      </c>
    </row>
    <row r="19">
      <c r="A19" t="inlineStr">
        <is>
          <t>A4554</t>
        </is>
      </c>
      <c r="B19" t="inlineStr">
        <is>
          <t>PD09</t>
        </is>
      </c>
      <c r="C19" t="inlineStr">
        <is>
          <t>DISPOSABLE UNDERPADS, ALL SIZES</t>
        </is>
      </c>
      <c r="D19" t="n">
        <v>2000</v>
      </c>
      <c r="E19" s="2" t="n">
        <v>0.125</v>
      </c>
      <c r="F19" s="2" t="n">
        <v>250</v>
      </c>
      <c r="G19" t="inlineStr">
        <is>
          <t>WALTERS</t>
        </is>
      </c>
      <c r="H19" t="n">
        <v>60</v>
      </c>
    </row>
    <row r="20">
      <c r="A20" t="inlineStr">
        <is>
          <t>A4520</t>
        </is>
      </c>
      <c r="B20" t="inlineStr">
        <is>
          <t>PD09</t>
        </is>
      </c>
      <c r="C20" t="inlineStr">
        <is>
          <t>INCONTINENCE GARMENT, ANY TYPE, (E.G., BRIEF, DIAPER), EACH</t>
        </is>
      </c>
      <c r="D20" t="n">
        <v>3000</v>
      </c>
      <c r="E20" s="2" t="n">
        <v>1.166666666666667</v>
      </c>
      <c r="F20" s="2" t="n">
        <v>3500</v>
      </c>
      <c r="G20" t="inlineStr">
        <is>
          <t>WALTERS</t>
        </is>
      </c>
      <c r="H20" t="n">
        <v>60</v>
      </c>
    </row>
    <row r="21">
      <c r="A21" t="inlineStr">
        <is>
          <t>B4150</t>
        </is>
      </c>
      <c r="B21" t="inlineStr">
        <is>
          <t>PE03</t>
        </is>
      </c>
      <c r="C21" t="inlineStr">
        <is>
          <t>ENTERAL FORMULA, NUTRITIONALLY COMPLETE WITH INTACT NUTRIENTS, INCLUDES PROTEINS, FATS, CARBOHYDRATES, VITAMINS AND MINERALS, MAY INCLUDE FIBER, ADMINISTERED THROUGH AN ENTERAL FEEDING TUBE, 100 CALORIES = 1 UNIT</t>
        </is>
      </c>
      <c r="D21" t="n">
        <v>40</v>
      </c>
      <c r="E21" s="2" t="n">
        <v>30</v>
      </c>
      <c r="F21" s="2" t="n">
        <v>1200</v>
      </c>
      <c r="G21" t="inlineStr">
        <is>
          <t>RAMBOM</t>
        </is>
      </c>
      <c r="H21"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2025-11-22T23:57:23Z</dcterms:created>
  <dcterms:modified xsi:type="dcterms:W3CDTF">2025-11-23T00:20:17Z</dcterms:modified>
</cp:coreProperties>
</file>