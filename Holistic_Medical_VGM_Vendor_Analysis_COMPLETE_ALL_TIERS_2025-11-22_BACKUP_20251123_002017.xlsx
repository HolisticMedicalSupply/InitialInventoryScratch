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ory Analysis" sheetId="1" state="visible" r:id="rId1"/>
    <sheet name="BOC Category Summary" sheetId="2" state="visible" r:id="rId2"/>
    <sheet name="Items Without Medicare Rates" sheetId="3" state="visible" r:id="rId3"/>
    <sheet name="Customer Requests" sheetId="4" state="visible" r:id="rId4"/>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165" fontId="0" fillId="0" borderId="0" pivotButton="0" quotePrefix="0" xfId="0"/>
    <xf numFmtId="0" fontId="1" fillId="2" borderId="0" applyAlignment="1" pivotButton="0" quotePrefix="0" xfId="0">
      <alignment horizontal="center" vertical="center"/>
    </xf>
  </cellXfs>
  <cellStyles count="1">
    <cellStyle name="Normal" xfId="0" builtinId="0"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10" customWidth="1" min="4" max="4"/>
    <col width="12" customWidth="1" min="5" max="5"/>
    <col width="15" customWidth="1" min="6" max="6"/>
    <col width="12" customWidth="1" min="7" max="7"/>
    <col width="15" customWidth="1" min="8" max="8"/>
    <col width="12" customWidth="1" min="9" max="9"/>
    <col width="15" customWidth="1" min="10" max="10"/>
    <col width="12" customWidth="1" min="11" max="11"/>
    <col width="15" customWidth="1" min="12" max="12"/>
    <col width="12" customWidth="1" min="13" max="13"/>
    <col width="12" customWidth="1" min="14" max="14"/>
    <col width="15" customWidth="1" min="15" max="15"/>
    <col width="12" customWidth="1" min="16" max="16"/>
    <col width="10" customWidth="1" min="17" max="17"/>
    <col width="18" customWidth="1" min="18" max="18"/>
    <col width="20" customWidth="1" min="19" max="19"/>
  </cols>
  <sheetData>
    <row r="1">
      <c r="A1" s="1" t="inlineStr">
        <is>
          <t>HCPCS Code</t>
        </is>
      </c>
      <c r="B1" s="1" t="inlineStr">
        <is>
          <t>BOC Category</t>
        </is>
      </c>
      <c r="C1" s="1" t="inlineStr">
        <is>
          <t>Description</t>
        </is>
      </c>
      <c r="D1" s="1" t="inlineStr">
        <is>
          <t>Quantity</t>
        </is>
      </c>
      <c r="E1" s="1" t="inlineStr">
        <is>
          <t>Medicare Allowable Rate</t>
        </is>
      </c>
      <c r="F1" s="1" t="inlineStr">
        <is>
          <t>Vendor A Name</t>
        </is>
      </c>
      <c r="G1" s="1" t="inlineStr">
        <is>
          <t>Vendor A Unit Cost</t>
        </is>
      </c>
      <c r="H1" s="1" t="inlineStr">
        <is>
          <t>Vendor B Name</t>
        </is>
      </c>
      <c r="I1" s="1" t="inlineStr">
        <is>
          <t>Vendor B Unit Cost</t>
        </is>
      </c>
      <c r="J1" s="1" t="inlineStr">
        <is>
          <t>Vendor C Name</t>
        </is>
      </c>
      <c r="K1" s="1" t="inlineStr">
        <is>
          <t>Vendor C Unit Cost</t>
        </is>
      </c>
      <c r="L1" s="1" t="inlineStr">
        <is>
          <t>Best Vendor</t>
        </is>
      </c>
      <c r="M1" s="1" t="inlineStr">
        <is>
          <t>Best Unit Cost</t>
        </is>
      </c>
      <c r="N1" s="1" t="inlineStr">
        <is>
          <t>Line Total Cost</t>
        </is>
      </c>
      <c r="O1" s="1" t="inlineStr">
        <is>
          <t>Medicare Revenue</t>
        </is>
      </c>
      <c r="P1" s="1" t="inlineStr">
        <is>
          <t>Profit Margin %</t>
        </is>
      </c>
      <c r="Q1" s="1" t="inlineStr">
        <is>
          <t>Priority</t>
        </is>
      </c>
      <c r="R1" s="1" t="inlineStr">
        <is>
          <t>Source</t>
        </is>
      </c>
      <c r="S1" s="1" t="inlineStr">
        <is>
          <t>Customer</t>
        </is>
      </c>
    </row>
    <row r="2">
      <c r="A2" t="inlineStr">
        <is>
          <t>L4361</t>
        </is>
      </c>
      <c r="B2" t="inlineStr">
        <is>
          <t>OR03</t>
        </is>
      </c>
      <c r="C2" t="inlineStr">
        <is>
          <t>Walking boot - pneumatic/vacuum (CAM WALKER)</t>
        </is>
      </c>
      <c r="D2" t="n">
        <v>6</v>
      </c>
      <c r="E2" s="2" t="n">
        <v>103.88</v>
      </c>
      <c r="F2" t="inlineStr"/>
      <c r="G2" s="2" t="inlineStr"/>
      <c r="H2" t="inlineStr"/>
      <c r="I2" s="2" t="inlineStr"/>
      <c r="J2" t="inlineStr"/>
      <c r="K2" s="2" t="inlineStr"/>
      <c r="L2" t="inlineStr"/>
      <c r="M2" s="2" t="inlineStr"/>
      <c r="N2" s="2" t="inlineStr"/>
      <c r="O2" s="2">
        <f>IF(P2=J2,I2,IF(P2=L2,K2,M2))</f>
        <v/>
      </c>
      <c r="P2" s="3">
        <f>MIN(J2,L2,N2)</f>
        <v/>
      </c>
      <c r="Q2">
        <f>G2*P2</f>
        <v/>
      </c>
      <c r="R2">
        <f>IF(ISBLANK(H2),0,G2*H2)</f>
        <v/>
      </c>
      <c r="S2">
        <f>IF(R2=0,0,(R2-Q2)/R2)</f>
        <v/>
      </c>
    </row>
    <row r="3">
      <c r="A3" t="inlineStr">
        <is>
          <t>E0607</t>
        </is>
      </c>
      <c r="B3" t="inlineStr">
        <is>
          <t>DM06</t>
        </is>
      </c>
      <c r="C3" t="inlineStr">
        <is>
          <t>HOME BLOOD GLUCOSE MONITOR</t>
        </is>
      </c>
      <c r="D3" t="n">
        <v>25</v>
      </c>
      <c r="E3" s="2" t="n">
        <v>93.36</v>
      </c>
      <c r="F3" t="inlineStr"/>
      <c r="G3" s="2" t="inlineStr"/>
      <c r="H3" t="inlineStr"/>
      <c r="I3" s="2" t="inlineStr"/>
      <c r="J3" t="inlineStr"/>
      <c r="K3" s="2" t="inlineStr"/>
      <c r="L3" t="inlineStr"/>
      <c r="M3" s="2" t="inlineStr"/>
      <c r="N3" s="2" t="inlineStr"/>
      <c r="O3" s="2">
        <f>IF(P3=J3,I3,IF(P3=L3,K3,M3))</f>
        <v/>
      </c>
      <c r="P3" s="3">
        <f>MIN(J3,L3,N3)</f>
        <v/>
      </c>
      <c r="Q3">
        <f>G3*P3</f>
        <v/>
      </c>
      <c r="R3">
        <f>IF(ISBLANK(H3),0,G3*H3)</f>
        <v/>
      </c>
      <c r="S3">
        <f>IF(R3=0,0,(R3-Q3)/R3)</f>
        <v/>
      </c>
    </row>
    <row r="4">
      <c r="A4" t="inlineStr">
        <is>
          <t>L4370</t>
        </is>
      </c>
      <c r="B4" t="inlineStr">
        <is>
          <t>OR03</t>
        </is>
      </c>
      <c r="C4" t="inlineStr">
        <is>
          <t>Pneumatic full leg splint</t>
        </is>
      </c>
      <c r="D4" t="n">
        <v>2</v>
      </c>
      <c r="E4" s="2" t="n">
        <v>150</v>
      </c>
      <c r="F4" t="inlineStr"/>
      <c r="G4" s="2" t="inlineStr"/>
      <c r="H4" t="inlineStr"/>
      <c r="I4" s="2" t="inlineStr"/>
      <c r="J4" t="inlineStr"/>
      <c r="K4" s="2" t="inlineStr"/>
      <c r="L4" t="inlineStr"/>
      <c r="M4" s="2" t="inlineStr"/>
      <c r="N4" s="2" t="inlineStr"/>
      <c r="O4" s="2">
        <f>IF(P4=J4,I4,IF(P4=L4,K4,M4))</f>
        <v/>
      </c>
      <c r="P4" s="3">
        <f>MIN(J4,L4,N4)</f>
        <v/>
      </c>
      <c r="Q4">
        <f>G4*P4</f>
        <v/>
      </c>
      <c r="R4">
        <f>IF(ISBLANK(H4),0,G4*H4)</f>
        <v/>
      </c>
      <c r="S4">
        <f>IF(R4=0,0,(R4-Q4)/R4)</f>
        <v/>
      </c>
    </row>
    <row r="5">
      <c r="A5" t="inlineStr">
        <is>
          <t>L1906</t>
        </is>
      </c>
      <c r="B5" t="inlineStr">
        <is>
          <t>OR03</t>
        </is>
      </c>
      <c r="C5" t="inlineStr">
        <is>
          <t>AFO - multiligamentous ankle support</t>
        </is>
      </c>
      <c r="D5" t="n">
        <v>6</v>
      </c>
      <c r="E5" s="2" t="n">
        <v>117.69</v>
      </c>
      <c r="F5" t="inlineStr"/>
      <c r="G5" s="2" t="inlineStr"/>
      <c r="H5" t="inlineStr"/>
      <c r="I5" s="2" t="inlineStr"/>
      <c r="J5" t="inlineStr"/>
      <c r="K5" s="2" t="inlineStr"/>
      <c r="L5" t="inlineStr"/>
      <c r="M5" s="2" t="inlineStr"/>
      <c r="N5" s="2" t="inlineStr"/>
      <c r="O5" s="2">
        <f>IF(P5=J5,I5,IF(P5=L5,K5,M5))</f>
        <v/>
      </c>
      <c r="P5" s="3">
        <f>MIN(J5,L5,N5)</f>
        <v/>
      </c>
      <c r="Q5">
        <f>G5*P5</f>
        <v/>
      </c>
      <c r="R5">
        <f>IF(ISBLANK(H5),0,G5*H5)</f>
        <v/>
      </c>
      <c r="S5">
        <f>IF(R5=0,0,(R5-Q5)/R5)</f>
        <v/>
      </c>
    </row>
    <row r="6">
      <c r="A6" t="inlineStr">
        <is>
          <t>L4387</t>
        </is>
      </c>
      <c r="B6" t="inlineStr">
        <is>
          <t>OR03</t>
        </is>
      </c>
      <c r="C6" t="inlineStr">
        <is>
          <t>Walking boot - non-pneumatic</t>
        </is>
      </c>
      <c r="D6" t="n">
        <v>2</v>
      </c>
      <c r="E6" s="2" t="n">
        <v>103.88</v>
      </c>
      <c r="F6" t="inlineStr"/>
      <c r="G6" s="2" t="inlineStr"/>
      <c r="H6" t="inlineStr"/>
      <c r="I6" s="2" t="inlineStr"/>
      <c r="J6" t="inlineStr"/>
      <c r="K6" s="2" t="inlineStr"/>
      <c r="L6" t="inlineStr"/>
      <c r="M6" s="2" t="inlineStr"/>
      <c r="N6" s="2" t="inlineStr"/>
      <c r="O6" s="2">
        <f>IF(P6=J6,I6,IF(P6=L6,K6,M6))</f>
        <v/>
      </c>
      <c r="P6" s="3">
        <f>MIN(J6,L6,N6)</f>
        <v/>
      </c>
      <c r="Q6">
        <f>G6*P6</f>
        <v/>
      </c>
      <c r="R6">
        <f>IF(ISBLANK(H6),0,G6*H6)</f>
        <v/>
      </c>
      <c r="S6">
        <f>IF(R6=0,0,(R6-Q6)/R6)</f>
        <v/>
      </c>
    </row>
    <row r="7">
      <c r="A7" t="inlineStr">
        <is>
          <t>L1902</t>
        </is>
      </c>
      <c r="B7" t="inlineStr">
        <is>
          <t>OR03</t>
        </is>
      </c>
      <c r="C7" t="inlineStr">
        <is>
          <t>ANKLE ORTHOSIS, ANKLE GAUNTLET OR SIMILAR, WITH OR WITHOUT JOINTS, PREFABRICATED, OFF-THE-SHELF</t>
        </is>
      </c>
      <c r="D7" t="n">
        <v>20</v>
      </c>
      <c r="E7" s="2" t="n">
        <v>117.69</v>
      </c>
      <c r="F7" t="inlineStr"/>
      <c r="G7" s="2" t="inlineStr"/>
      <c r="H7" t="inlineStr"/>
      <c r="I7" s="2" t="inlineStr"/>
      <c r="J7" t="inlineStr"/>
      <c r="K7" s="2" t="inlineStr"/>
      <c r="L7" t="inlineStr"/>
      <c r="M7" s="2" t="inlineStr"/>
      <c r="N7" s="2" t="inlineStr"/>
      <c r="O7" s="2">
        <f>IF(P7=J7,I7,IF(P7=L7,K7,M7))</f>
        <v/>
      </c>
      <c r="P7" s="3">
        <f>MIN(J7,L7,N7)</f>
        <v/>
      </c>
      <c r="Q7">
        <f>G7*P7</f>
        <v/>
      </c>
      <c r="R7">
        <f>IF(ISBLANK(H7),0,G7*H7)</f>
        <v/>
      </c>
      <c r="S7">
        <f>IF(R7=0,0,(R7-Q7)/R7)</f>
        <v/>
      </c>
    </row>
    <row r="8">
      <c r="A8" t="inlineStr">
        <is>
          <t>L4350</t>
        </is>
      </c>
      <c r="B8" t="inlineStr">
        <is>
          <t>OR03</t>
        </is>
      </c>
      <c r="C8" t="inlineStr">
        <is>
          <t>Ankle control orthosis, stirrup style</t>
        </is>
      </c>
      <c r="D8" t="n">
        <v>2</v>
      </c>
      <c r="E8" s="2" t="n">
        <v>103.88</v>
      </c>
      <c r="F8" t="inlineStr"/>
      <c r="G8" s="2" t="inlineStr"/>
      <c r="H8" t="inlineStr"/>
      <c r="I8" s="2" t="inlineStr"/>
      <c r="J8" t="inlineStr"/>
      <c r="K8" s="2" t="inlineStr"/>
      <c r="L8" t="inlineStr"/>
      <c r="M8" s="2" t="inlineStr"/>
      <c r="N8" s="2" t="inlineStr"/>
      <c r="O8" s="2">
        <f>IF(P8=J8,I8,IF(P8=L8,K8,M8))</f>
        <v/>
      </c>
      <c r="P8" s="3">
        <f>MIN(J8,L8,N8)</f>
        <v/>
      </c>
      <c r="Q8">
        <f>G8*P8</f>
        <v/>
      </c>
      <c r="R8">
        <f>IF(ISBLANK(H8),0,G8*H8)</f>
        <v/>
      </c>
      <c r="S8">
        <f>IF(R8=0,0,(R8-Q8)/R8)</f>
        <v/>
      </c>
    </row>
    <row r="9">
      <c r="A9" t="inlineStr">
        <is>
          <t>E2103</t>
        </is>
      </c>
      <c r="B9" t="inlineStr">
        <is>
          <t>DM06</t>
        </is>
      </c>
      <c r="C9" t="inlineStr">
        <is>
          <t>Freestyle Libre CGM Reader</t>
        </is>
      </c>
      <c r="D9" t="n">
        <v>5</v>
      </c>
      <c r="E9" s="2" t="n">
        <v>327.88</v>
      </c>
      <c r="F9" t="inlineStr"/>
      <c r="G9" s="2" t="inlineStr"/>
      <c r="H9" t="inlineStr"/>
      <c r="I9" s="2" t="inlineStr"/>
      <c r="J9" t="inlineStr"/>
      <c r="K9" s="2" t="inlineStr"/>
      <c r="L9" t="inlineStr"/>
      <c r="M9" s="2" t="inlineStr"/>
      <c r="N9" s="2" t="inlineStr"/>
      <c r="O9" s="2">
        <f>IF(P9=J9,I9,IF(P9=L9,K9,M9))</f>
        <v/>
      </c>
      <c r="P9" s="3">
        <f>MIN(J9,L9,N9)</f>
        <v/>
      </c>
      <c r="Q9">
        <f>G9*P9</f>
        <v/>
      </c>
      <c r="R9">
        <f>IF(ISBLANK(H9),0,G9*H9)</f>
        <v/>
      </c>
      <c r="S9">
        <f>IF(R9=0,0,(R9-Q9)/R9)</f>
        <v/>
      </c>
    </row>
    <row r="10">
      <c r="A10" t="inlineStr">
        <is>
          <t>E2103</t>
        </is>
      </c>
      <c r="B10" t="inlineStr">
        <is>
          <t>DM06</t>
        </is>
      </c>
      <c r="C10" t="inlineStr">
        <is>
          <t>Dexcom G7 CGM Receiver</t>
        </is>
      </c>
      <c r="D10" t="n">
        <v>5</v>
      </c>
      <c r="E10" s="2" t="n">
        <v>327.88</v>
      </c>
      <c r="F10" t="inlineStr"/>
      <c r="G10" s="2" t="inlineStr"/>
      <c r="H10" t="inlineStr"/>
      <c r="I10" s="2" t="inlineStr"/>
      <c r="J10" t="inlineStr"/>
      <c r="K10" s="2" t="inlineStr"/>
      <c r="L10" t="inlineStr"/>
      <c r="M10" s="2" t="inlineStr"/>
      <c r="N10" s="2" t="inlineStr"/>
      <c r="O10" s="2">
        <f>IF(P10=J10,I10,IF(P10=L10,K10,M10))</f>
        <v/>
      </c>
      <c r="P10" s="3">
        <f>MIN(J10,L10,N10)</f>
        <v/>
      </c>
      <c r="Q10">
        <f>G10*P10</f>
        <v/>
      </c>
      <c r="R10">
        <f>IF(ISBLANK(H10),0,G10*H10)</f>
        <v/>
      </c>
      <c r="S10">
        <f>IF(R10=0,0,(R10-Q10)/R10)</f>
        <v/>
      </c>
    </row>
    <row r="11">
      <c r="A11" t="inlineStr">
        <is>
          <t>E0130</t>
        </is>
      </c>
      <c r="B11" t="inlineStr">
        <is>
          <t>M05</t>
        </is>
      </c>
      <c r="C11" t="inlineStr">
        <is>
          <t>WALKER, RIGID (PICKUP), ADJUSTABLE OR FIXED HEIGHT</t>
        </is>
      </c>
      <c r="D11" t="n">
        <v>5</v>
      </c>
      <c r="E11" s="2" t="n">
        <v>53.39</v>
      </c>
      <c r="F11" t="inlineStr"/>
      <c r="G11" s="2" t="inlineStr"/>
      <c r="H11" t="inlineStr"/>
      <c r="I11" s="2" t="inlineStr"/>
      <c r="J11" t="inlineStr"/>
      <c r="K11" s="2" t="inlineStr"/>
      <c r="L11" t="inlineStr"/>
      <c r="M11" s="2" t="inlineStr"/>
      <c r="N11" s="2" t="inlineStr"/>
      <c r="O11" s="2">
        <f>IF(P11=J11,I11,IF(P11=L11,K11,M11))</f>
        <v/>
      </c>
      <c r="P11" s="3">
        <f>MIN(J11,L11,N11)</f>
        <v/>
      </c>
      <c r="Q11">
        <f>G11*P11</f>
        <v/>
      </c>
      <c r="R11">
        <f>IF(ISBLANK(H11),0,G11*H11)</f>
        <v/>
      </c>
      <c r="S11">
        <f>IF(R11=0,0,(R11-Q11)/R11)</f>
        <v/>
      </c>
    </row>
    <row r="12">
      <c r="A12" t="inlineStr">
        <is>
          <t>E0143</t>
        </is>
      </c>
      <c r="B12" t="inlineStr">
        <is>
          <t>M05</t>
        </is>
      </c>
      <c r="C12" t="inlineStr">
        <is>
          <t>WALKER, FOLDING, WHEELED, ADJUSTABLE OR FIXED HEIGHT</t>
        </is>
      </c>
      <c r="D12" t="n">
        <v>3</v>
      </c>
      <c r="E12" s="2" t="n">
        <v>54.75</v>
      </c>
      <c r="F12" t="inlineStr"/>
      <c r="G12" s="2" t="inlineStr"/>
      <c r="H12" t="inlineStr"/>
      <c r="I12" s="2" t="inlineStr"/>
      <c r="J12" t="inlineStr"/>
      <c r="K12" s="2" t="inlineStr"/>
      <c r="L12" t="inlineStr"/>
      <c r="M12" s="2" t="inlineStr"/>
      <c r="N12" s="2" t="inlineStr"/>
      <c r="O12" s="2">
        <f>IF(P12=J12,I12,IF(P12=L12,K12,M12))</f>
        <v/>
      </c>
      <c r="P12" s="3">
        <f>MIN(J12,L12,N12)</f>
        <v/>
      </c>
      <c r="Q12">
        <f>G12*P12</f>
        <v/>
      </c>
      <c r="R12">
        <f>IF(ISBLANK(H12),0,G12*H12)</f>
        <v/>
      </c>
      <c r="S12">
        <f>IF(R12=0,0,(R12-Q12)/R12)</f>
        <v/>
      </c>
    </row>
    <row r="13">
      <c r="A13" t="inlineStr">
        <is>
          <t>A4239</t>
        </is>
      </c>
      <c r="B13" t="inlineStr">
        <is>
          <t>DM06</t>
        </is>
      </c>
      <c r="C13" t="inlineStr">
        <is>
          <t>Freestyle Libre CGM Sensors, 30-day</t>
        </is>
      </c>
      <c r="D13" t="n">
        <v>10</v>
      </c>
      <c r="E13" s="2" t="n">
        <v>267.92</v>
      </c>
      <c r="F13" t="inlineStr"/>
      <c r="G13" s="2" t="inlineStr"/>
      <c r="H13" t="inlineStr"/>
      <c r="I13" s="2" t="inlineStr"/>
      <c r="J13" t="inlineStr"/>
      <c r="K13" s="2" t="inlineStr"/>
      <c r="L13" t="inlineStr"/>
      <c r="M13" s="2" t="inlineStr"/>
      <c r="N13" s="2" t="inlineStr"/>
      <c r="O13" s="2">
        <f>IF(P13=J13,I13,IF(P13=L13,K13,M13))</f>
        <v/>
      </c>
      <c r="P13" s="3">
        <f>MIN(J13,L13,N13)</f>
        <v/>
      </c>
      <c r="Q13">
        <f>G13*P13</f>
        <v/>
      </c>
      <c r="R13">
        <f>IF(ISBLANK(H13),0,G13*H13)</f>
        <v/>
      </c>
      <c r="S13">
        <f>IF(R13=0,0,(R13-Q13)/R13)</f>
        <v/>
      </c>
    </row>
    <row r="14">
      <c r="A14" t="inlineStr">
        <is>
          <t>A4239</t>
        </is>
      </c>
      <c r="B14" t="inlineStr">
        <is>
          <t>DM06</t>
        </is>
      </c>
      <c r="C14" t="inlineStr">
        <is>
          <t>Dexcom G7 CGM Sensors, 30-day</t>
        </is>
      </c>
      <c r="D14" t="n">
        <v>10</v>
      </c>
      <c r="E14" s="2" t="n">
        <v>267.92</v>
      </c>
      <c r="F14" t="inlineStr"/>
      <c r="G14" s="2" t="inlineStr"/>
      <c r="H14" t="inlineStr"/>
      <c r="I14" s="2" t="inlineStr"/>
      <c r="J14" t="inlineStr"/>
      <c r="K14" s="2" t="inlineStr"/>
      <c r="L14" t="inlineStr"/>
      <c r="M14" s="2" t="inlineStr"/>
      <c r="N14" s="2" t="inlineStr"/>
      <c r="O14" s="2">
        <f>IF(P14=J14,I14,IF(P14=L14,K14,M14))</f>
        <v/>
      </c>
      <c r="P14" s="3">
        <f>MIN(J14,L14,N14)</f>
        <v/>
      </c>
      <c r="Q14">
        <f>G14*P14</f>
        <v/>
      </c>
      <c r="R14">
        <f>IF(ISBLANK(H14),0,G14*H14)</f>
        <v/>
      </c>
      <c r="S14">
        <f>IF(R14=0,0,(R14-Q14)/R14)</f>
        <v/>
      </c>
    </row>
    <row r="15">
      <c r="A15" t="inlineStr">
        <is>
          <t>A4253</t>
        </is>
      </c>
      <c r="B15" t="inlineStr">
        <is>
          <t>DM06</t>
        </is>
      </c>
      <c r="C15" t="inlineStr">
        <is>
          <t>BLOOD GLUCOSE TEST OR REAGENT STRIPS FOR HOME BLOOD GLUCOSE MONITOR, PER 50 STRIPS</t>
        </is>
      </c>
      <c r="D15" t="n">
        <v>1500</v>
      </c>
      <c r="E15" s="2" t="n">
        <v>8.32</v>
      </c>
      <c r="F15" t="inlineStr"/>
      <c r="G15" s="2" t="inlineStr"/>
      <c r="H15" t="inlineStr"/>
      <c r="I15" s="2" t="inlineStr"/>
      <c r="J15" t="inlineStr"/>
      <c r="K15" s="2" t="inlineStr"/>
      <c r="L15" t="inlineStr"/>
      <c r="M15" s="2" t="inlineStr"/>
      <c r="N15" s="2" t="inlineStr"/>
      <c r="O15" s="2">
        <f>IF(P15=J15,I15,IF(P15=L15,K15,M15))</f>
        <v/>
      </c>
      <c r="P15" s="3">
        <f>MIN(J15,L15,N15)</f>
        <v/>
      </c>
      <c r="Q15">
        <f>G15*P15</f>
        <v/>
      </c>
      <c r="R15">
        <f>IF(ISBLANK(H15),0,G15*H15)</f>
        <v/>
      </c>
      <c r="S15">
        <f>IF(R15=0,0,(R15-Q15)/R15)</f>
        <v/>
      </c>
    </row>
    <row r="16">
      <c r="A16" t="inlineStr">
        <is>
          <t>K0001</t>
        </is>
      </c>
      <c r="B16" t="inlineStr">
        <is>
          <t>M06</t>
        </is>
      </c>
      <c r="C16" t="inlineStr">
        <is>
          <t>STANDARD WHEELCHAIR</t>
        </is>
      </c>
      <c r="D16" t="n">
        <v>2</v>
      </c>
      <c r="E16" s="2" t="n">
        <v>23.1</v>
      </c>
      <c r="F16" t="inlineStr"/>
      <c r="G16" s="2" t="inlineStr"/>
      <c r="H16" t="inlineStr"/>
      <c r="I16" s="2" t="inlineStr"/>
      <c r="J16" t="inlineStr"/>
      <c r="K16" s="2" t="inlineStr"/>
      <c r="L16" t="inlineStr"/>
      <c r="M16" s="2" t="inlineStr"/>
      <c r="N16" s="2" t="inlineStr"/>
      <c r="O16" s="2">
        <f>IF(P16=J16,I16,IF(P16=L16,K16,M16))</f>
        <v/>
      </c>
      <c r="P16" s="3">
        <f>MIN(J16,L16,N16)</f>
        <v/>
      </c>
      <c r="Q16">
        <f>G16*P16</f>
        <v/>
      </c>
      <c r="R16">
        <f>IF(ISBLANK(H16),0,G16*H16)</f>
        <v/>
      </c>
      <c r="S16">
        <f>IF(R16=0,0,(R16-Q16)/R16)</f>
        <v/>
      </c>
    </row>
    <row r="17">
      <c r="A17" t="inlineStr">
        <is>
          <t>A4259</t>
        </is>
      </c>
      <c r="B17" t="inlineStr">
        <is>
          <t>DM06</t>
        </is>
      </c>
      <c r="C17" t="inlineStr">
        <is>
          <t>LANCETS, PER BOX OF 100</t>
        </is>
      </c>
      <c r="D17" t="n">
        <v>1000</v>
      </c>
      <c r="E17" s="2" t="n">
        <v>1.42</v>
      </c>
      <c r="F17" t="inlineStr"/>
      <c r="G17" s="2" t="inlineStr"/>
      <c r="H17" t="inlineStr"/>
      <c r="I17" s="2" t="inlineStr"/>
      <c r="J17" t="inlineStr"/>
      <c r="K17" s="2" t="inlineStr"/>
      <c r="L17" t="inlineStr"/>
      <c r="M17" s="2" t="inlineStr"/>
      <c r="N17" s="2" t="inlineStr"/>
      <c r="O17" s="2">
        <f>IF(P17=J17,I17,IF(P17=L17,K17,M17))</f>
        <v/>
      </c>
      <c r="P17" s="3">
        <f>MIN(J17,L17,N17)</f>
        <v/>
      </c>
      <c r="Q17">
        <f>G17*P17</f>
        <v/>
      </c>
      <c r="R17">
        <f>IF(ISBLANK(H17),0,G17*H17)</f>
        <v/>
      </c>
      <c r="S17">
        <f>IF(R17=0,0,(R17-Q17)/R17)</f>
        <v/>
      </c>
    </row>
    <row r="18">
      <c r="A18" t="inlineStr">
        <is>
          <t>K0015</t>
        </is>
      </c>
      <c r="B18" t="inlineStr">
        <is>
          <t>M06A</t>
        </is>
      </c>
      <c r="C18" t="inlineStr">
        <is>
          <t>DETACHABLE, NON-ADJUSTABLE HEIGHT ARMREST, REPLACEMENT ONLY, EACH</t>
        </is>
      </c>
      <c r="D18" t="n">
        <v>3</v>
      </c>
      <c r="E18" s="2" t="n">
        <v>13.49</v>
      </c>
      <c r="F18" t="inlineStr"/>
      <c r="G18" s="2" t="inlineStr"/>
      <c r="H18" t="inlineStr"/>
      <c r="I18" s="2" t="inlineStr"/>
      <c r="J18" t="inlineStr"/>
      <c r="K18" s="2" t="inlineStr"/>
      <c r="L18" t="inlineStr"/>
      <c r="M18" s="2" t="inlineStr"/>
      <c r="N18" s="2" t="inlineStr"/>
      <c r="O18" s="2">
        <f>IF(P18=J18,I18,IF(P18=L18,K18,M18))</f>
        <v/>
      </c>
      <c r="P18" s="3">
        <f>MIN(J18,L18,N18)</f>
        <v/>
      </c>
      <c r="Q18">
        <f>G18*P18</f>
        <v/>
      </c>
      <c r="R18">
        <f>IF(ISBLANK(H18),0,G18*H18)</f>
        <v/>
      </c>
      <c r="S18">
        <f>IF(R18=0,0,(R18-Q18)/R18)</f>
        <v/>
      </c>
    </row>
    <row r="19">
      <c r="A19" t="inlineStr">
        <is>
          <t>A6533</t>
        </is>
      </c>
      <c r="B19" t="inlineStr">
        <is>
          <t>S01</t>
        </is>
      </c>
      <c r="C19" t="inlineStr">
        <is>
          <t>GRADIENT COMPRESSION STOCKING, THIGH LENGTH, 18-30 MMHG, EACH</t>
        </is>
      </c>
      <c r="D19" t="n">
        <v>3</v>
      </c>
      <c r="E19" s="2" t="n">
        <v>53.42</v>
      </c>
      <c r="F19" t="inlineStr"/>
      <c r="G19" s="2" t="inlineStr"/>
      <c r="H19" t="inlineStr"/>
      <c r="I19" s="2" t="inlineStr"/>
      <c r="J19" t="inlineStr"/>
      <c r="K19" s="2" t="inlineStr"/>
      <c r="L19" t="inlineStr"/>
      <c r="M19" s="2" t="inlineStr"/>
      <c r="N19" s="2" t="inlineStr"/>
      <c r="O19" s="2">
        <f>IF(P19=J19,I19,IF(P19=L19,K19,M19))</f>
        <v/>
      </c>
      <c r="P19" s="3">
        <f>MIN(J19,L19,N19)</f>
        <v/>
      </c>
      <c r="Q19">
        <f>G19*P19</f>
        <v/>
      </c>
      <c r="R19">
        <f>IF(ISBLANK(H19),0,G19*H19)</f>
        <v/>
      </c>
      <c r="S19">
        <f>IF(R19=0,0,(R19-Q19)/R19)</f>
        <v/>
      </c>
    </row>
    <row r="20">
      <c r="A20" t="inlineStr">
        <is>
          <t>A6457</t>
        </is>
      </c>
      <c r="B20" t="inlineStr">
        <is>
          <t>S01</t>
        </is>
      </c>
      <c r="C20" t="inlineStr">
        <is>
          <t>TUBULAR DRESSING WITH OR WITHOUT ELASTIC, ANY WIDTH, PER LINEAR YARD</t>
        </is>
      </c>
      <c r="D20" t="n">
        <v>3</v>
      </c>
      <c r="E20" s="2" t="n">
        <v>1.59</v>
      </c>
      <c r="F20" t="inlineStr"/>
      <c r="G20" s="2" t="inlineStr"/>
      <c r="H20" t="inlineStr"/>
      <c r="I20" s="2" t="inlineStr"/>
      <c r="J20" t="inlineStr"/>
      <c r="K20" s="2" t="inlineStr"/>
      <c r="L20" t="inlineStr"/>
      <c r="M20" s="2" t="inlineStr"/>
      <c r="N20" s="2" t="inlineStr"/>
      <c r="O20" s="2">
        <f>IF(P20=J20,I20,IF(P20=L20,K20,M20))</f>
        <v/>
      </c>
      <c r="P20" s="3">
        <f>MIN(J20,L20,N20)</f>
        <v/>
      </c>
      <c r="Q20">
        <f>G20*P20</f>
        <v/>
      </c>
      <c r="R20">
        <f>IF(ISBLANK(H20),0,G20*H20)</f>
        <v/>
      </c>
      <c r="S20">
        <f>IF(R20=0,0,(R20-Q20)/R20)</f>
        <v/>
      </c>
    </row>
    <row r="21">
      <c r="A21" t="inlineStr">
        <is>
          <t>A6531</t>
        </is>
      </c>
      <c r="B21" t="inlineStr">
        <is>
          <t>S01</t>
        </is>
      </c>
      <c r="C21" t="inlineStr">
        <is>
          <t>GRADIENT COMPRESSION STOCKING, BELOW KNEE, 30-40 MMHG, USED AS A SURGICAL DRESSING, EACH</t>
        </is>
      </c>
      <c r="D21" t="n">
        <v>3</v>
      </c>
      <c r="E21" s="2" t="n">
        <v>60.45</v>
      </c>
      <c r="F21" t="inlineStr"/>
      <c r="G21" s="2" t="inlineStr"/>
      <c r="H21" t="inlineStr"/>
      <c r="I21" s="2" t="inlineStr"/>
      <c r="J21" t="inlineStr"/>
      <c r="K21" s="2" t="inlineStr"/>
      <c r="L21" t="inlineStr"/>
      <c r="M21" s="2" t="inlineStr"/>
      <c r="N21" s="2" t="inlineStr"/>
      <c r="O21" s="2">
        <f>IF(P21=J21,I21,IF(P21=L21,K21,M21))</f>
        <v/>
      </c>
      <c r="P21" s="3">
        <f>MIN(J21,L21,N21)</f>
        <v/>
      </c>
      <c r="Q21">
        <f>G21*P21</f>
        <v/>
      </c>
      <c r="R21">
        <f>IF(ISBLANK(H21),0,G21*H21)</f>
        <v/>
      </c>
      <c r="S21">
        <f>IF(R21=0,0,(R21-Q21)/R21)</f>
        <v/>
      </c>
    </row>
    <row r="22">
      <c r="A22" t="inlineStr">
        <is>
          <t>A6530</t>
        </is>
      </c>
      <c r="B22" t="inlineStr">
        <is>
          <t>S01</t>
        </is>
      </c>
      <c r="C22" t="inlineStr">
        <is>
          <t>GRADIENT COMPRESSION STOCKING, BELOW KNEE, 18-30 MMHG, EACH</t>
        </is>
      </c>
      <c r="D22" t="n">
        <v>3</v>
      </c>
      <c r="E22" s="2" t="n">
        <v>38.04</v>
      </c>
      <c r="F22" t="inlineStr"/>
      <c r="G22" s="2" t="inlineStr"/>
      <c r="H22" t="inlineStr"/>
      <c r="I22" s="2" t="inlineStr"/>
      <c r="J22" t="inlineStr"/>
      <c r="K22" s="2" t="inlineStr"/>
      <c r="L22" t="inlineStr"/>
      <c r="M22" s="2" t="inlineStr"/>
      <c r="N22" s="2" t="inlineStr"/>
      <c r="O22" s="2">
        <f>IF(P22=J22,I22,IF(P22=L22,K22,M22))</f>
        <v/>
      </c>
      <c r="P22" s="3">
        <f>MIN(J22,L22,N22)</f>
        <v/>
      </c>
      <c r="Q22">
        <f>G22*P22</f>
        <v/>
      </c>
      <c r="R22">
        <f>IF(ISBLANK(H22),0,G22*H22)</f>
        <v/>
      </c>
      <c r="S22">
        <f>IF(R22=0,0,(R22-Q22)/R22)</f>
        <v/>
      </c>
    </row>
    <row r="23">
      <c r="A23" t="inlineStr">
        <is>
          <t>K0020</t>
        </is>
      </c>
      <c r="B23" t="inlineStr">
        <is>
          <t>M06A</t>
        </is>
      </c>
      <c r="C23" t="inlineStr">
        <is>
          <t>FIXED, ADJUSTABLE HEIGHT ARMREST, PAIR</t>
        </is>
      </c>
      <c r="D23" t="n">
        <v>3</v>
      </c>
      <c r="E23" s="2" t="n">
        <v>55.95</v>
      </c>
      <c r="F23" t="inlineStr"/>
      <c r="G23" s="2" t="inlineStr"/>
      <c r="H23" t="inlineStr"/>
      <c r="I23" s="2" t="inlineStr"/>
      <c r="J23" t="inlineStr"/>
      <c r="K23" s="2" t="inlineStr"/>
      <c r="L23" t="inlineStr"/>
      <c r="M23" s="2" t="inlineStr"/>
      <c r="N23" s="2" t="inlineStr"/>
      <c r="O23" s="2">
        <f>IF(P23=J23,I23,IF(P23=L23,K23,M23))</f>
        <v/>
      </c>
      <c r="P23" s="3">
        <f>MIN(J23,L23,N23)</f>
        <v/>
      </c>
      <c r="Q23">
        <f>G23*P23</f>
        <v/>
      </c>
      <c r="R23">
        <f>IF(ISBLANK(H23),0,G23*H23)</f>
        <v/>
      </c>
      <c r="S23">
        <f>IF(R23=0,0,(R23-Q23)/R23)</f>
        <v/>
      </c>
    </row>
    <row r="24">
      <c r="A24" t="inlineStr">
        <is>
          <t>E2216</t>
        </is>
      </c>
      <c r="B24" t="inlineStr">
        <is>
          <t>M06A</t>
        </is>
      </c>
      <c r="C24" t="inlineStr">
        <is>
          <t>MANUAL WHEELCHAIR ACCESSORY, FOAM FILLED PROPULSION TIRE, ANY SIZE, EACH</t>
        </is>
      </c>
      <c r="D24" t="n">
        <v>3</v>
      </c>
      <c r="E24" s="2" t="n">
        <v>51</v>
      </c>
      <c r="F24" t="inlineStr"/>
      <c r="G24" s="2" t="inlineStr"/>
      <c r="H24" t="inlineStr"/>
      <c r="I24" s="2" t="inlineStr"/>
      <c r="J24" t="inlineStr"/>
      <c r="K24" s="2" t="inlineStr"/>
      <c r="L24" t="inlineStr"/>
      <c r="M24" s="2" t="inlineStr"/>
      <c r="N24" s="2" t="inlineStr"/>
      <c r="O24" s="2">
        <f>IF(P24=J24,I24,IF(P24=L24,K24,M24))</f>
        <v/>
      </c>
      <c r="P24" s="3">
        <f>MIN(J24,L24,N24)</f>
        <v/>
      </c>
      <c r="Q24">
        <f>G24*P24</f>
        <v/>
      </c>
      <c r="R24">
        <f>IF(ISBLANK(H24),0,G24*H24)</f>
        <v/>
      </c>
      <c r="S24">
        <f>IF(R24=0,0,(R24-Q24)/R24)</f>
        <v/>
      </c>
    </row>
    <row r="25">
      <c r="A25" t="inlineStr">
        <is>
          <t>E2215</t>
        </is>
      </c>
      <c r="B25" t="inlineStr">
        <is>
          <t>M06A</t>
        </is>
      </c>
      <c r="C25" t="inlineStr">
        <is>
          <t>MANUAL WHEELCHAIR ACCESSORY, TUBE FOR PNEUMATIC CASTER TIRE, ANY SIZE, EACH</t>
        </is>
      </c>
      <c r="D25" t="n">
        <v>3</v>
      </c>
      <c r="E25" s="2" t="n">
        <v>11.25</v>
      </c>
      <c r="F25" t="inlineStr"/>
      <c r="G25" s="2" t="inlineStr"/>
      <c r="H25" t="inlineStr"/>
      <c r="I25" s="2" t="inlineStr"/>
      <c r="J25" t="inlineStr"/>
      <c r="K25" s="2" t="inlineStr"/>
      <c r="L25" t="inlineStr"/>
      <c r="M25" s="2" t="inlineStr"/>
      <c r="N25" s="2" t="inlineStr"/>
      <c r="O25" s="2">
        <f>IF(P25=J25,I25,IF(P25=L25,K25,M25))</f>
        <v/>
      </c>
      <c r="P25" s="3">
        <f>MIN(J25,L25,N25)</f>
        <v/>
      </c>
      <c r="Q25">
        <f>G25*P25</f>
        <v/>
      </c>
      <c r="R25">
        <f>IF(ISBLANK(H25),0,G25*H25)</f>
        <v/>
      </c>
      <c r="S25">
        <f>IF(R25=0,0,(R25-Q25)/R25)</f>
        <v/>
      </c>
    </row>
    <row r="26">
      <c r="A26" t="inlineStr">
        <is>
          <t>K0195</t>
        </is>
      </c>
      <c r="B26" t="inlineStr">
        <is>
          <t>M06A</t>
        </is>
      </c>
      <c r="C26" t="inlineStr">
        <is>
          <t>ELEVATING LEG RESTS, PAIR (FOR USE WITH CAPPED RENTAL WHEELCHAIR BASE)</t>
        </is>
      </c>
      <c r="D26" t="n">
        <v>3</v>
      </c>
      <c r="E26" s="2" t="n">
        <v>10.5</v>
      </c>
      <c r="F26" t="inlineStr"/>
      <c r="G26" s="2" t="inlineStr"/>
      <c r="H26" t="inlineStr"/>
      <c r="I26" s="2" t="inlineStr"/>
      <c r="J26" t="inlineStr"/>
      <c r="K26" s="2" t="inlineStr"/>
      <c r="L26" t="inlineStr"/>
      <c r="M26" s="2" t="inlineStr"/>
      <c r="N26" s="2" t="inlineStr"/>
      <c r="O26" s="2">
        <f>IF(P26=J26,I26,IF(P26=L26,K26,M26))</f>
        <v/>
      </c>
      <c r="P26" s="3">
        <f>MIN(J26,L26,N26)</f>
        <v/>
      </c>
      <c r="Q26">
        <f>G26*P26</f>
        <v/>
      </c>
      <c r="R26">
        <f>IF(ISBLANK(H26),0,G26*H26)</f>
        <v/>
      </c>
      <c r="S26">
        <f>IF(R26=0,0,(R26-Q26)/R26)</f>
        <v/>
      </c>
    </row>
    <row r="27">
      <c r="A27" t="inlineStr">
        <is>
          <t>E2219</t>
        </is>
      </c>
      <c r="B27" t="inlineStr">
        <is>
          <t>M06A</t>
        </is>
      </c>
      <c r="C27" t="inlineStr">
        <is>
          <t>MANUAL WHEELCHAIR ACCESSORY, FOAM CASTER TIRE, ANY SIZE, EACH</t>
        </is>
      </c>
      <c r="D27" t="n">
        <v>3</v>
      </c>
      <c r="E27" s="2" t="n">
        <v>39.97</v>
      </c>
      <c r="F27" t="inlineStr"/>
      <c r="G27" s="2" t="inlineStr"/>
      <c r="H27" t="inlineStr"/>
      <c r="I27" s="2" t="inlineStr"/>
      <c r="J27" t="inlineStr"/>
      <c r="K27" s="2" t="inlineStr"/>
      <c r="L27" t="inlineStr"/>
      <c r="M27" s="2" t="inlineStr"/>
      <c r="N27" s="2" t="inlineStr"/>
      <c r="O27" s="2">
        <f>IF(P27=J27,I27,IF(P27=L27,K27,M27))</f>
        <v/>
      </c>
      <c r="P27" s="3">
        <f>MIN(J27,L27,N27)</f>
        <v/>
      </c>
      <c r="Q27">
        <f>G27*P27</f>
        <v/>
      </c>
      <c r="R27">
        <f>IF(ISBLANK(H27),0,G27*H27)</f>
        <v/>
      </c>
      <c r="S27">
        <f>IF(R27=0,0,(R27-Q27)/R27)</f>
        <v/>
      </c>
    </row>
    <row r="28">
      <c r="A28" t="inlineStr">
        <is>
          <t>E2214</t>
        </is>
      </c>
      <c r="B28" t="inlineStr">
        <is>
          <t>M06A</t>
        </is>
      </c>
      <c r="C28" t="inlineStr">
        <is>
          <t>MANUAL WHEELCHAIR ACCESSORY, PNEUMATIC CASTER TIRE, ANY SIZE, EACH</t>
        </is>
      </c>
      <c r="D28" t="n">
        <v>3</v>
      </c>
      <c r="E28" s="2" t="n">
        <v>32.46</v>
      </c>
      <c r="F28" t="inlineStr"/>
      <c r="G28" s="2" t="inlineStr"/>
      <c r="H28" t="inlineStr"/>
      <c r="I28" s="2" t="inlineStr"/>
      <c r="J28" t="inlineStr"/>
      <c r="K28" s="2" t="inlineStr"/>
      <c r="L28" t="inlineStr"/>
      <c r="M28" s="2" t="inlineStr"/>
      <c r="N28" s="2" t="inlineStr"/>
      <c r="O28" s="2">
        <f>IF(P28=J28,I28,IF(P28=L28,K28,M28))</f>
        <v/>
      </c>
      <c r="P28" s="3">
        <f>MIN(J28,L28,N28)</f>
        <v/>
      </c>
      <c r="Q28">
        <f>G28*P28</f>
        <v/>
      </c>
      <c r="R28">
        <f>IF(ISBLANK(H28),0,G28*H28)</f>
        <v/>
      </c>
      <c r="S28">
        <f>IF(R28=0,0,(R28-Q28)/R28)</f>
        <v/>
      </c>
    </row>
    <row r="29">
      <c r="A29" t="inlineStr">
        <is>
          <t>E2213</t>
        </is>
      </c>
      <c r="B29" t="inlineStr">
        <is>
          <t>M06A</t>
        </is>
      </c>
      <c r="C29" t="inlineStr">
        <is>
          <t>MANUAL WHEELCHAIR ACCESSORY, INSERT FOR PNEUMATIC PROPULSION TIRE (REMOVABLE), ANY TYPE, ANY SIZE, EACH</t>
        </is>
      </c>
      <c r="D29" t="n">
        <v>3</v>
      </c>
      <c r="E29" s="2" t="n">
        <v>31.23</v>
      </c>
      <c r="F29" t="inlineStr"/>
      <c r="G29" s="2" t="inlineStr"/>
      <c r="H29" t="inlineStr"/>
      <c r="I29" s="2" t="inlineStr"/>
      <c r="J29" t="inlineStr"/>
      <c r="K29" s="2" t="inlineStr"/>
      <c r="L29" t="inlineStr"/>
      <c r="M29" s="2" t="inlineStr"/>
      <c r="N29" s="2" t="inlineStr"/>
      <c r="O29" s="2">
        <f>IF(P29=J29,I29,IF(P29=L29,K29,M29))</f>
        <v/>
      </c>
      <c r="P29" s="3">
        <f>MIN(J29,L29,N29)</f>
        <v/>
      </c>
      <c r="Q29">
        <f>G29*P29</f>
        <v/>
      </c>
      <c r="R29">
        <f>IF(ISBLANK(H29),0,G29*H29)</f>
        <v/>
      </c>
      <c r="S29">
        <f>IF(R29=0,0,(R29-Q29)/R29)</f>
        <v/>
      </c>
    </row>
    <row r="30">
      <c r="A30" t="inlineStr">
        <is>
          <t>E0953</t>
        </is>
      </c>
      <c r="B30" t="inlineStr">
        <is>
          <t>M06A</t>
        </is>
      </c>
      <c r="C30" t="inlineStr">
        <is>
          <t>WHEELCHAIR ACCESSORY, LATERAL THIGH OR KNEE SUPPORT, ANY TYPE INCLUDING FIXED MOUNTING HARDWARE, EACH</t>
        </is>
      </c>
      <c r="D30" t="n">
        <v>3</v>
      </c>
      <c r="E30" s="2" t="n">
        <v>87.14</v>
      </c>
      <c r="F30" t="inlineStr"/>
      <c r="G30" s="2" t="inlineStr"/>
      <c r="H30" t="inlineStr"/>
      <c r="I30" s="2" t="inlineStr"/>
      <c r="J30" t="inlineStr"/>
      <c r="K30" s="2" t="inlineStr"/>
      <c r="L30" t="inlineStr"/>
      <c r="M30" s="2" t="inlineStr"/>
      <c r="N30" s="2" t="inlineStr"/>
      <c r="O30" s="2">
        <f>IF(P30=J30,I30,IF(P30=L30,K30,M30))</f>
        <v/>
      </c>
      <c r="P30" s="3">
        <f>MIN(J30,L30,N30)</f>
        <v/>
      </c>
      <c r="Q30">
        <f>G30*P30</f>
        <v/>
      </c>
      <c r="R30">
        <f>IF(ISBLANK(H30),0,G30*H30)</f>
        <v/>
      </c>
      <c r="S30">
        <f>IF(R30=0,0,(R30-Q30)/R30)</f>
        <v/>
      </c>
    </row>
    <row r="31">
      <c r="A31" t="inlineStr">
        <is>
          <t>E2226</t>
        </is>
      </c>
      <c r="B31" t="inlineStr">
        <is>
          <t>M06A</t>
        </is>
      </c>
      <c r="C31" t="inlineStr">
        <is>
          <t>MANUAL WHEELCHAIR ACCESSORY, CASTER FORK, ANY SIZE, REPLACEMENT ONLY, EACH</t>
        </is>
      </c>
      <c r="D31" t="n">
        <v>3</v>
      </c>
      <c r="E31" s="2" t="n">
        <v>42.47</v>
      </c>
      <c r="F31" t="inlineStr"/>
      <c r="G31" s="2" t="inlineStr"/>
      <c r="H31" t="inlineStr"/>
      <c r="I31" s="2" t="inlineStr"/>
      <c r="J31" t="inlineStr"/>
      <c r="K31" s="2" t="inlineStr"/>
      <c r="L31" t="inlineStr"/>
      <c r="M31" s="2" t="inlineStr"/>
      <c r="N31" s="2" t="inlineStr"/>
      <c r="O31" s="2">
        <f>IF(P31=J31,I31,IF(P31=L31,K31,M31))</f>
        <v/>
      </c>
      <c r="P31" s="3">
        <f>MIN(J31,L31,N31)</f>
        <v/>
      </c>
      <c r="Q31">
        <f>G31*P31</f>
        <v/>
      </c>
      <c r="R31">
        <f>IF(ISBLANK(H31),0,G31*H31)</f>
        <v/>
      </c>
      <c r="S31">
        <f>IF(R31=0,0,(R31-Q31)/R31)</f>
        <v/>
      </c>
    </row>
    <row r="32">
      <c r="A32" t="inlineStr">
        <is>
          <t>K0044</t>
        </is>
      </c>
      <c r="B32" t="inlineStr">
        <is>
          <t>M06A</t>
        </is>
      </c>
      <c r="C32" t="inlineStr">
        <is>
          <t>FOOTREST, UPPER HANGER BRACKET, REPLACEMENT ONLY, EACH</t>
        </is>
      </c>
      <c r="D32" t="n">
        <v>3</v>
      </c>
      <c r="E32" s="2" t="n">
        <v>20.04</v>
      </c>
      <c r="F32" t="inlineStr"/>
      <c r="G32" s="2" t="inlineStr"/>
      <c r="H32" t="inlineStr"/>
      <c r="I32" s="2" t="inlineStr"/>
      <c r="J32" t="inlineStr"/>
      <c r="K32" s="2" t="inlineStr"/>
      <c r="L32" t="inlineStr"/>
      <c r="M32" s="2" t="inlineStr"/>
      <c r="N32" s="2" t="inlineStr"/>
      <c r="O32" s="2">
        <f>IF(P32=J32,I32,IF(P32=L32,K32,M32))</f>
        <v/>
      </c>
      <c r="P32" s="3">
        <f>MIN(J32,L32,N32)</f>
        <v/>
      </c>
      <c r="Q32">
        <f>G32*P32</f>
        <v/>
      </c>
      <c r="R32">
        <f>IF(ISBLANK(H32),0,G32*H32)</f>
        <v/>
      </c>
      <c r="S32">
        <f>IF(R32=0,0,(R32-Q32)/R32)</f>
        <v/>
      </c>
    </row>
    <row r="33">
      <c r="A33" t="inlineStr">
        <is>
          <t>K0043</t>
        </is>
      </c>
      <c r="B33" t="inlineStr">
        <is>
          <t>M06A</t>
        </is>
      </c>
      <c r="C33" t="inlineStr">
        <is>
          <t>FOOTREST, LOWER EXTENSION TUBE, REPLACEMENT ONLY, EACH</t>
        </is>
      </c>
      <c r="D33" t="n">
        <v>3</v>
      </c>
      <c r="E33" s="2" t="n">
        <v>23.36</v>
      </c>
      <c r="F33" t="inlineStr"/>
      <c r="G33" s="2" t="inlineStr"/>
      <c r="H33" t="inlineStr"/>
      <c r="I33" s="2" t="inlineStr"/>
      <c r="J33" t="inlineStr"/>
      <c r="K33" s="2" t="inlineStr"/>
      <c r="L33" t="inlineStr"/>
      <c r="M33" s="2" t="inlineStr"/>
      <c r="N33" s="2" t="inlineStr"/>
      <c r="O33" s="2">
        <f>IF(P33=J33,I33,IF(P33=L33,K33,M33))</f>
        <v/>
      </c>
      <c r="P33" s="3">
        <f>MIN(J33,L33,N33)</f>
        <v/>
      </c>
      <c r="Q33">
        <f>G33*P33</f>
        <v/>
      </c>
      <c r="R33">
        <f>IF(ISBLANK(H33),0,G33*H33)</f>
        <v/>
      </c>
      <c r="S33">
        <f>IF(R33=0,0,(R33-Q33)/R33)</f>
        <v/>
      </c>
    </row>
    <row r="34">
      <c r="A34" t="inlineStr">
        <is>
          <t>K0042</t>
        </is>
      </c>
      <c r="B34" t="inlineStr">
        <is>
          <t>M06A</t>
        </is>
      </c>
      <c r="C34" t="inlineStr">
        <is>
          <t>STANDARD SIZE FOOTPLATE, REPLACEMENT ONLY, EACH</t>
        </is>
      </c>
      <c r="D34" t="n">
        <v>3</v>
      </c>
      <c r="E34" s="2" t="n">
        <v>37.84</v>
      </c>
      <c r="F34" t="inlineStr"/>
      <c r="G34" s="2" t="inlineStr"/>
      <c r="H34" t="inlineStr"/>
      <c r="I34" s="2" t="inlineStr"/>
      <c r="J34" t="inlineStr"/>
      <c r="K34" s="2" t="inlineStr"/>
      <c r="L34" t="inlineStr"/>
      <c r="M34" s="2" t="inlineStr"/>
      <c r="N34" s="2" t="inlineStr"/>
      <c r="O34" s="2">
        <f>IF(P34=J34,I34,IF(P34=L34,K34,M34))</f>
        <v/>
      </c>
      <c r="P34" s="3">
        <f>MIN(J34,L34,N34)</f>
        <v/>
      </c>
      <c r="Q34">
        <f>G34*P34</f>
        <v/>
      </c>
      <c r="R34">
        <f>IF(ISBLANK(H34),0,G34*H34)</f>
        <v/>
      </c>
      <c r="S34">
        <f>IF(R34=0,0,(R34-Q34)/R34)</f>
        <v/>
      </c>
    </row>
    <row r="35">
      <c r="A35" t="inlineStr">
        <is>
          <t>A6589</t>
        </is>
      </c>
      <c r="B35" t="inlineStr">
        <is>
          <t>S04</t>
        </is>
      </c>
      <c r="C35" t="inlineStr">
        <is>
          <t>GRADIENT PRESSURE WRAP WITH ADJUSTABLE STRAPS, BRA, EACH</t>
        </is>
      </c>
      <c r="D35" t="n">
        <v>3</v>
      </c>
      <c r="E35" s="2" t="n">
        <v>93.73999999999999</v>
      </c>
      <c r="F35" t="inlineStr"/>
      <c r="G35" s="2" t="inlineStr"/>
      <c r="H35" t="inlineStr"/>
      <c r="I35" s="2" t="inlineStr"/>
      <c r="J35" t="inlineStr"/>
      <c r="K35" s="2" t="inlineStr"/>
      <c r="L35" t="inlineStr"/>
      <c r="M35" s="2" t="inlineStr"/>
      <c r="N35" s="2" t="inlineStr"/>
      <c r="O35" s="2">
        <f>IF(P35=J35,I35,IF(P35=L35,K35,M35))</f>
        <v/>
      </c>
      <c r="P35" s="3">
        <f>MIN(J35,L35,N35)</f>
        <v/>
      </c>
      <c r="Q35">
        <f>G35*P35</f>
        <v/>
      </c>
      <c r="R35">
        <f>IF(ISBLANK(H35),0,G35*H35)</f>
        <v/>
      </c>
      <c r="S35">
        <f>IF(R35=0,0,(R35-Q35)/R35)</f>
        <v/>
      </c>
    </row>
    <row r="36">
      <c r="A36" t="inlineStr">
        <is>
          <t>A6588</t>
        </is>
      </c>
      <c r="B36" t="inlineStr">
        <is>
          <t>S04</t>
        </is>
      </c>
      <c r="C36" t="inlineStr">
        <is>
          <t>GRADIENT COMPRESSION WRAP WITH ADJUSTABLE STRAPS, ARM, EACH</t>
        </is>
      </c>
      <c r="D36" t="n">
        <v>3</v>
      </c>
      <c r="E36" s="2" t="n">
        <v>237.46</v>
      </c>
      <c r="F36" t="inlineStr"/>
      <c r="G36" s="2" t="inlineStr"/>
      <c r="H36" t="inlineStr"/>
      <c r="I36" s="2" t="inlineStr"/>
      <c r="J36" t="inlineStr"/>
      <c r="K36" s="2" t="inlineStr"/>
      <c r="L36" t="inlineStr"/>
      <c r="M36" s="2" t="inlineStr"/>
      <c r="N36" s="2" t="inlineStr"/>
      <c r="O36" s="2">
        <f>IF(P36=J36,I36,IF(P36=L36,K36,M36))</f>
        <v/>
      </c>
      <c r="P36" s="3">
        <f>MIN(J36,L36,N36)</f>
        <v/>
      </c>
      <c r="Q36">
        <f>G36*P36</f>
        <v/>
      </c>
      <c r="R36">
        <f>IF(ISBLANK(H36),0,G36*H36)</f>
        <v/>
      </c>
      <c r="S36">
        <f>IF(R36=0,0,(R36-Q36)/R36)</f>
        <v/>
      </c>
    </row>
    <row r="37">
      <c r="A37" t="inlineStr">
        <is>
          <t>A6587</t>
        </is>
      </c>
      <c r="B37" t="inlineStr">
        <is>
          <t>S04</t>
        </is>
      </c>
      <c r="C37" t="inlineStr">
        <is>
          <t>GRADIENT COMPRESSION WRAP WITH ADJUSTABLE STRAPS, FOOT, EACH</t>
        </is>
      </c>
      <c r="D37" t="n">
        <v>3</v>
      </c>
      <c r="E37" s="2" t="n">
        <v>71.25</v>
      </c>
      <c r="F37" t="inlineStr"/>
      <c r="G37" s="2" t="inlineStr"/>
      <c r="H37" t="inlineStr"/>
      <c r="I37" s="2" t="inlineStr"/>
      <c r="J37" t="inlineStr"/>
      <c r="K37" s="2" t="inlineStr"/>
      <c r="L37" t="inlineStr"/>
      <c r="M37" s="2" t="inlineStr"/>
      <c r="N37" s="2" t="inlineStr"/>
      <c r="O37" s="2">
        <f>IF(P37=J37,I37,IF(P37=L37,K37,M37))</f>
        <v/>
      </c>
      <c r="P37" s="3">
        <f>MIN(J37,L37,N37)</f>
        <v/>
      </c>
      <c r="Q37">
        <f>G37*P37</f>
        <v/>
      </c>
      <c r="R37">
        <f>IF(ISBLANK(H37),0,G37*H37)</f>
        <v/>
      </c>
      <c r="S37">
        <f>IF(R37=0,0,(R37-Q37)/R37)</f>
        <v/>
      </c>
    </row>
    <row r="38">
      <c r="A38" t="inlineStr">
        <is>
          <t>A4452</t>
        </is>
      </c>
      <c r="B38" t="inlineStr">
        <is>
          <t>S01</t>
        </is>
      </c>
      <c r="C38" t="inlineStr">
        <is>
          <t>TAPE, WATERPROOF, PER 18 SQUARE INCHES</t>
        </is>
      </c>
      <c r="D38" t="n">
        <v>3</v>
      </c>
      <c r="E38" s="2" t="n">
        <v>0.49</v>
      </c>
      <c r="F38" t="inlineStr"/>
      <c r="G38" s="2" t="inlineStr"/>
      <c r="H38" t="inlineStr"/>
      <c r="I38" s="2" t="inlineStr"/>
      <c r="J38" t="inlineStr"/>
      <c r="K38" s="2" t="inlineStr"/>
      <c r="L38" t="inlineStr"/>
      <c r="M38" s="2" t="inlineStr"/>
      <c r="N38" s="2" t="inlineStr"/>
      <c r="O38" s="2">
        <f>IF(P38=J38,I38,IF(P38=L38,K38,M38))</f>
        <v/>
      </c>
      <c r="P38" s="3">
        <f>MIN(J38,L38,N38)</f>
        <v/>
      </c>
      <c r="Q38">
        <f>G38*P38</f>
        <v/>
      </c>
      <c r="R38">
        <f>IF(ISBLANK(H38),0,G38*H38)</f>
        <v/>
      </c>
      <c r="S38">
        <f>IF(R38=0,0,(R38-Q38)/R38)</f>
        <v/>
      </c>
    </row>
    <row r="39">
      <c r="A39" t="inlineStr">
        <is>
          <t>A6022</t>
        </is>
      </c>
      <c r="B39" t="inlineStr">
        <is>
          <t>S01</t>
        </is>
      </c>
      <c r="C39" t="inlineStr">
        <is>
          <t>COLLAGEN DRESSING, STERILE, SIZE MORE THAN 16 SQ. IN. BUT LESS THAN OR EQUAL TO 48 SQ. IN., EACH</t>
        </is>
      </c>
      <c r="D39" t="n">
        <v>3</v>
      </c>
      <c r="E39" s="2" t="n">
        <v>29.38</v>
      </c>
      <c r="F39" t="inlineStr"/>
      <c r="G39" s="2" t="inlineStr"/>
      <c r="H39" t="inlineStr"/>
      <c r="I39" s="2" t="inlineStr"/>
      <c r="J39" t="inlineStr"/>
      <c r="K39" s="2" t="inlineStr"/>
      <c r="L39" t="inlineStr"/>
      <c r="M39" s="2" t="inlineStr"/>
      <c r="N39" s="2" t="inlineStr"/>
      <c r="O39" s="2">
        <f>IF(P39=J39,I39,IF(P39=L39,K39,M39))</f>
        <v/>
      </c>
      <c r="P39" s="3">
        <f>MIN(J39,L39,N39)</f>
        <v/>
      </c>
      <c r="Q39">
        <f>G39*P39</f>
        <v/>
      </c>
      <c r="R39">
        <f>IF(ISBLANK(H39),0,G39*H39)</f>
        <v/>
      </c>
      <c r="S39">
        <f>IF(R39=0,0,(R39-Q39)/R39)</f>
        <v/>
      </c>
    </row>
    <row r="40">
      <c r="A40" t="inlineStr">
        <is>
          <t>K0019</t>
        </is>
      </c>
      <c r="B40" t="inlineStr">
        <is>
          <t>M06A</t>
        </is>
      </c>
      <c r="C40" t="inlineStr">
        <is>
          <t>ARM PAD, REPLACEMENT ONLY, EACH</t>
        </is>
      </c>
      <c r="D40" t="n">
        <v>3</v>
      </c>
      <c r="E40" s="2" t="n">
        <v>17.48</v>
      </c>
      <c r="F40" t="inlineStr"/>
      <c r="G40" s="2" t="inlineStr"/>
      <c r="H40" t="inlineStr"/>
      <c r="I40" s="2" t="inlineStr"/>
      <c r="J40" t="inlineStr"/>
      <c r="K40" s="2" t="inlineStr"/>
      <c r="L40" t="inlineStr"/>
      <c r="M40" s="2" t="inlineStr"/>
      <c r="N40" s="2" t="inlineStr"/>
      <c r="O40" s="2">
        <f>IF(P40=J40,I40,IF(P40=L40,K40,M40))</f>
        <v/>
      </c>
      <c r="P40" s="3">
        <f>MIN(J40,L40,N40)</f>
        <v/>
      </c>
      <c r="Q40">
        <f>G40*P40</f>
        <v/>
      </c>
      <c r="R40">
        <f>IF(ISBLANK(H40),0,G40*H40)</f>
        <v/>
      </c>
      <c r="S40">
        <f>IF(R40=0,0,(R40-Q40)/R40)</f>
        <v/>
      </c>
    </row>
    <row r="41">
      <c r="A41" t="inlineStr">
        <is>
          <t>K0018</t>
        </is>
      </c>
      <c r="B41" t="inlineStr">
        <is>
          <t>M06A</t>
        </is>
      </c>
      <c r="C41" t="inlineStr">
        <is>
          <t>DETACHABLE, ADJUSTABLE HEIGHT ARMREST, UPPER PORTION, REPLACEMENT ONLY, EACH</t>
        </is>
      </c>
      <c r="D41" t="n">
        <v>3</v>
      </c>
      <c r="E41" s="2" t="n">
        <v>32.47</v>
      </c>
      <c r="F41" t="inlineStr"/>
      <c r="G41" s="2" t="inlineStr"/>
      <c r="H41" t="inlineStr"/>
      <c r="I41" s="2" t="inlineStr"/>
      <c r="J41" t="inlineStr"/>
      <c r="K41" s="2" t="inlineStr"/>
      <c r="L41" t="inlineStr"/>
      <c r="M41" s="2" t="inlineStr"/>
      <c r="N41" s="2" t="inlineStr"/>
      <c r="O41" s="2">
        <f>IF(P41=J41,I41,IF(P41=L41,K41,M41))</f>
        <v/>
      </c>
      <c r="P41" s="3">
        <f>MIN(J41,L41,N41)</f>
        <v/>
      </c>
      <c r="Q41">
        <f>G41*P41</f>
        <v/>
      </c>
      <c r="R41">
        <f>IF(ISBLANK(H41),0,G41*H41)</f>
        <v/>
      </c>
      <c r="S41">
        <f>IF(R41=0,0,(R41-Q41)/R41)</f>
        <v/>
      </c>
    </row>
    <row r="42">
      <c r="A42" t="inlineStr">
        <is>
          <t>K0017</t>
        </is>
      </c>
      <c r="B42" t="inlineStr">
        <is>
          <t>M06A</t>
        </is>
      </c>
      <c r="C42" t="inlineStr">
        <is>
          <t>DETACHABLE, ADJUSTABLE HEIGHT ARMREST, BASE, REPLACEMENT ONLY, EACH</t>
        </is>
      </c>
      <c r="D42" t="n">
        <v>3</v>
      </c>
      <c r="E42" s="2" t="n">
        <v>57.45</v>
      </c>
      <c r="F42" t="inlineStr"/>
      <c r="G42" s="2" t="inlineStr"/>
      <c r="H42" t="inlineStr"/>
      <c r="I42" s="2" t="inlineStr"/>
      <c r="J42" t="inlineStr"/>
      <c r="K42" s="2" t="inlineStr"/>
      <c r="L42" t="inlineStr"/>
      <c r="M42" s="2" t="inlineStr"/>
      <c r="N42" s="2" t="inlineStr"/>
      <c r="O42" s="2">
        <f>IF(P42=J42,I42,IF(P42=L42,K42,M42))</f>
        <v/>
      </c>
      <c r="P42" s="3">
        <f>MIN(J42,L42,N42)</f>
        <v/>
      </c>
      <c r="Q42">
        <f>G42*P42</f>
        <v/>
      </c>
      <c r="R42">
        <f>IF(ISBLANK(H42),0,G42*H42)</f>
        <v/>
      </c>
      <c r="S42">
        <f>IF(R42=0,0,(R42-Q42)/R42)</f>
        <v/>
      </c>
    </row>
    <row r="43">
      <c r="A43" t="inlineStr">
        <is>
          <t>A6570</t>
        </is>
      </c>
      <c r="B43" t="inlineStr">
        <is>
          <t>S04</t>
        </is>
      </c>
      <c r="C43" t="inlineStr">
        <is>
          <t>GRADIENT COMPRESSION GARMENT, GENITAL REGION, EACH</t>
        </is>
      </c>
      <c r="D43" t="n">
        <v>3</v>
      </c>
      <c r="E43" s="2" t="n">
        <v>110.3</v>
      </c>
      <c r="F43" t="inlineStr"/>
      <c r="G43" s="2" t="inlineStr"/>
      <c r="H43" t="inlineStr"/>
      <c r="I43" s="2" t="inlineStr"/>
      <c r="J43" t="inlineStr"/>
      <c r="K43" s="2" t="inlineStr"/>
      <c r="L43" t="inlineStr"/>
      <c r="M43" s="2" t="inlineStr"/>
      <c r="N43" s="2" t="inlineStr"/>
      <c r="O43" s="2">
        <f>IF(P43=J43,I43,IF(P43=L43,K43,M43))</f>
        <v/>
      </c>
      <c r="P43" s="3">
        <f>MIN(J43,L43,N43)</f>
        <v/>
      </c>
      <c r="Q43">
        <f>G43*P43</f>
        <v/>
      </c>
      <c r="R43">
        <f>IF(ISBLANK(H43),0,G43*H43)</f>
        <v/>
      </c>
      <c r="S43">
        <f>IF(R43=0,0,(R43-Q43)/R43)</f>
        <v/>
      </c>
    </row>
    <row r="44">
      <c r="A44" t="inlineStr">
        <is>
          <t>A6569</t>
        </is>
      </c>
      <c r="B44" t="inlineStr">
        <is>
          <t>S04</t>
        </is>
      </c>
      <c r="C44" t="inlineStr">
        <is>
          <t>GRADIENT COMPRESSION GARMENT, TORSO/SHOULDER, CUSTOM, EACH</t>
        </is>
      </c>
      <c r="D44" t="n">
        <v>3</v>
      </c>
      <c r="E44" s="2" t="n">
        <v>921.85</v>
      </c>
      <c r="F44" t="inlineStr"/>
      <c r="G44" s="2" t="inlineStr"/>
      <c r="H44" t="inlineStr"/>
      <c r="I44" s="2" t="inlineStr"/>
      <c r="J44" t="inlineStr"/>
      <c r="K44" s="2" t="inlineStr"/>
      <c r="L44" t="inlineStr"/>
      <c r="M44" s="2" t="inlineStr"/>
      <c r="N44" s="2" t="inlineStr"/>
      <c r="O44" s="2">
        <f>IF(P44=J44,I44,IF(P44=L44,K44,M44))</f>
        <v/>
      </c>
      <c r="P44" s="3">
        <f>MIN(J44,L44,N44)</f>
        <v/>
      </c>
      <c r="Q44">
        <f>G44*P44</f>
        <v/>
      </c>
      <c r="R44">
        <f>IF(ISBLANK(H44),0,G44*H44)</f>
        <v/>
      </c>
      <c r="S44">
        <f>IF(R44=0,0,(R44-Q44)/R44)</f>
        <v/>
      </c>
    </row>
    <row r="45">
      <c r="A45" t="inlineStr">
        <is>
          <t>A6568</t>
        </is>
      </c>
      <c r="B45" t="inlineStr">
        <is>
          <t>S04</t>
        </is>
      </c>
      <c r="C45" t="inlineStr">
        <is>
          <t>GRADIENT COMPRESSION GARMENT, TORSO AND SHOULDER, EACH</t>
        </is>
      </c>
      <c r="D45" t="n">
        <v>3</v>
      </c>
      <c r="E45" s="2" t="n">
        <v>161.89</v>
      </c>
      <c r="F45" t="inlineStr"/>
      <c r="G45" s="2" t="inlineStr"/>
      <c r="H45" t="inlineStr"/>
      <c r="I45" s="2" t="inlineStr"/>
      <c r="J45" t="inlineStr"/>
      <c r="K45" s="2" t="inlineStr"/>
      <c r="L45" t="inlineStr"/>
      <c r="M45" s="2" t="inlineStr"/>
      <c r="N45" s="2" t="inlineStr"/>
      <c r="O45" s="2">
        <f>IF(P45=J45,I45,IF(P45=L45,K45,M45))</f>
        <v/>
      </c>
      <c r="P45" s="3">
        <f>MIN(J45,L45,N45)</f>
        <v/>
      </c>
      <c r="Q45">
        <f>G45*P45</f>
        <v/>
      </c>
      <c r="R45">
        <f>IF(ISBLANK(H45),0,G45*H45)</f>
        <v/>
      </c>
      <c r="S45">
        <f>IF(R45=0,0,(R45-Q45)/R45)</f>
        <v/>
      </c>
    </row>
    <row r="46">
      <c r="A46" t="inlineStr">
        <is>
          <t>A6583</t>
        </is>
      </c>
      <c r="B46" t="inlineStr">
        <is>
          <t>S04</t>
        </is>
      </c>
      <c r="C46" t="inlineStr">
        <is>
          <t>GRADIENT COMPRESSION WRAP WITH ADJUSTABLE STRAPS, BELOW KNEE, EACH</t>
        </is>
      </c>
      <c r="D46" t="n">
        <v>3</v>
      </c>
      <c r="E46" s="2" t="n">
        <v>155.92</v>
      </c>
      <c r="F46" t="inlineStr"/>
      <c r="G46" s="2" t="inlineStr"/>
      <c r="H46" t="inlineStr"/>
      <c r="I46" s="2" t="inlineStr"/>
      <c r="J46" t="inlineStr"/>
      <c r="K46" s="2" t="inlineStr"/>
      <c r="L46" t="inlineStr"/>
      <c r="M46" s="2" t="inlineStr"/>
      <c r="N46" s="2" t="inlineStr"/>
      <c r="O46" s="2">
        <f>IF(P46=J46,I46,IF(P46=L46,K46,M46))</f>
        <v/>
      </c>
      <c r="P46" s="3">
        <f>MIN(J46,L46,N46)</f>
        <v/>
      </c>
      <c r="Q46">
        <f>G46*P46</f>
        <v/>
      </c>
      <c r="R46">
        <f>IF(ISBLANK(H46),0,G46*H46)</f>
        <v/>
      </c>
      <c r="S46">
        <f>IF(R46=0,0,(R46-Q46)/R46)</f>
        <v/>
      </c>
    </row>
    <row r="47">
      <c r="A47" t="inlineStr">
        <is>
          <t>A6582</t>
        </is>
      </c>
      <c r="B47" t="inlineStr">
        <is>
          <t>S04</t>
        </is>
      </c>
      <c r="C47" t="inlineStr">
        <is>
          <t>GRADIENT COMPRESSION GAUNTLET, EACH</t>
        </is>
      </c>
      <c r="D47" t="n">
        <v>3</v>
      </c>
      <c r="E47" s="2" t="n">
        <v>47.4</v>
      </c>
      <c r="F47" t="inlineStr"/>
      <c r="G47" s="2" t="inlineStr"/>
      <c r="H47" t="inlineStr"/>
      <c r="I47" s="2" t="inlineStr"/>
      <c r="J47" t="inlineStr"/>
      <c r="K47" s="2" t="inlineStr"/>
      <c r="L47" t="inlineStr"/>
      <c r="M47" s="2" t="inlineStr"/>
      <c r="N47" s="2" t="inlineStr"/>
      <c r="O47" s="2">
        <f>IF(P47=J47,I47,IF(P47=L47,K47,M47))</f>
        <v/>
      </c>
      <c r="P47" s="3">
        <f>MIN(J47,L47,N47)</f>
        <v/>
      </c>
      <c r="Q47">
        <f>G47*P47</f>
        <v/>
      </c>
      <c r="R47">
        <f>IF(ISBLANK(H47),0,G47*H47)</f>
        <v/>
      </c>
      <c r="S47">
        <f>IF(R47=0,0,(R47-Q47)/R47)</f>
        <v/>
      </c>
    </row>
    <row r="48">
      <c r="A48" t="inlineStr">
        <is>
          <t>A6581</t>
        </is>
      </c>
      <c r="B48" t="inlineStr">
        <is>
          <t>S04</t>
        </is>
      </c>
      <c r="C48" t="inlineStr">
        <is>
          <t>GRADIENT COMPRESSION GLOVE, EACH</t>
        </is>
      </c>
      <c r="D48" t="n">
        <v>3</v>
      </c>
      <c r="E48" s="2" t="n">
        <v>71.06999999999999</v>
      </c>
      <c r="F48" t="inlineStr"/>
      <c r="G48" s="2" t="inlineStr"/>
      <c r="H48" t="inlineStr"/>
      <c r="I48" s="2" t="inlineStr"/>
      <c r="J48" t="inlineStr"/>
      <c r="K48" s="2" t="inlineStr"/>
      <c r="L48" t="inlineStr"/>
      <c r="M48" s="2" t="inlineStr"/>
      <c r="N48" s="2" t="inlineStr"/>
      <c r="O48" s="2">
        <f>IF(P48=J48,I48,IF(P48=L48,K48,M48))</f>
        <v/>
      </c>
      <c r="P48" s="3">
        <f>MIN(J48,L48,N48)</f>
        <v/>
      </c>
      <c r="Q48">
        <f>G48*P48</f>
        <v/>
      </c>
      <c r="R48">
        <f>IF(ISBLANK(H48),0,G48*H48)</f>
        <v/>
      </c>
      <c r="S48">
        <f>IF(R48=0,0,(R48-Q48)/R48)</f>
        <v/>
      </c>
    </row>
    <row r="49">
      <c r="A49" t="inlineStr">
        <is>
          <t>A6580</t>
        </is>
      </c>
      <c r="B49" t="inlineStr">
        <is>
          <t>S04</t>
        </is>
      </c>
      <c r="C49" t="inlineStr">
        <is>
          <t>GRADIENT  COMPRESSION GLOVE, CUSTOM, HEAVY WEIGHT, EACH</t>
        </is>
      </c>
      <c r="D49" t="n">
        <v>3</v>
      </c>
      <c r="E49" s="2" t="n">
        <v>302.78</v>
      </c>
      <c r="F49" t="inlineStr"/>
      <c r="G49" s="2" t="inlineStr"/>
      <c r="H49" t="inlineStr"/>
      <c r="I49" s="2" t="inlineStr"/>
      <c r="J49" t="inlineStr"/>
      <c r="K49" s="2" t="inlineStr"/>
      <c r="L49" t="inlineStr"/>
      <c r="M49" s="2" t="inlineStr"/>
      <c r="N49" s="2" t="inlineStr"/>
      <c r="O49" s="2">
        <f>IF(P49=J49,I49,IF(P49=L49,K49,M49))</f>
        <v/>
      </c>
      <c r="P49" s="3">
        <f>MIN(J49,L49,N49)</f>
        <v/>
      </c>
      <c r="Q49">
        <f>G49*P49</f>
        <v/>
      </c>
      <c r="R49">
        <f>IF(ISBLANK(H49),0,G49*H49)</f>
        <v/>
      </c>
      <c r="S49">
        <f>IF(R49=0,0,(R49-Q49)/R49)</f>
        <v/>
      </c>
    </row>
    <row r="50">
      <c r="A50" t="inlineStr">
        <is>
          <t>A6579</t>
        </is>
      </c>
      <c r="B50" t="inlineStr">
        <is>
          <t>S04</t>
        </is>
      </c>
      <c r="C50" t="inlineStr">
        <is>
          <t>GRADIENT COMPRESSION GLOVE, CUSTOM, MEDIUM WEIGHT, EACH</t>
        </is>
      </c>
      <c r="D50" t="n">
        <v>3</v>
      </c>
      <c r="E50" s="2" t="n">
        <v>305.02</v>
      </c>
      <c r="F50" t="inlineStr"/>
      <c r="G50" s="2" t="inlineStr"/>
      <c r="H50" t="inlineStr"/>
      <c r="I50" s="2" t="inlineStr"/>
      <c r="J50" t="inlineStr"/>
      <c r="K50" s="2" t="inlineStr"/>
      <c r="L50" t="inlineStr"/>
      <c r="M50" s="2" t="inlineStr"/>
      <c r="N50" s="2" t="inlineStr"/>
      <c r="O50" s="2">
        <f>IF(P50=J50,I50,IF(P50=L50,K50,M50))</f>
        <v/>
      </c>
      <c r="P50" s="3">
        <f>MIN(J50,L50,N50)</f>
        <v/>
      </c>
      <c r="Q50">
        <f>G50*P50</f>
        <v/>
      </c>
      <c r="R50">
        <f>IF(ISBLANK(H50),0,G50*H50)</f>
        <v/>
      </c>
      <c r="S50">
        <f>IF(R50=0,0,(R50-Q50)/R50)</f>
        <v/>
      </c>
    </row>
    <row r="51">
      <c r="A51" t="inlineStr">
        <is>
          <t>E0982</t>
        </is>
      </c>
      <c r="B51" t="inlineStr">
        <is>
          <t>M06A</t>
        </is>
      </c>
      <c r="C51" t="inlineStr">
        <is>
          <t>WHEELCHAIR ACCESSORY, BACK UPHOLSTERY, REPLACEMENT ONLY, EACH</t>
        </is>
      </c>
      <c r="D51" t="n">
        <v>3</v>
      </c>
      <c r="E51" s="2" t="n">
        <v>52.74</v>
      </c>
      <c r="F51" t="inlineStr"/>
      <c r="G51" s="2" t="inlineStr"/>
      <c r="H51" t="inlineStr"/>
      <c r="I51" s="2" t="inlineStr"/>
      <c r="J51" t="inlineStr"/>
      <c r="K51" s="2" t="inlineStr"/>
      <c r="L51" t="inlineStr"/>
      <c r="M51" s="2" t="inlineStr"/>
      <c r="N51" s="2" t="inlineStr"/>
      <c r="O51" s="2">
        <f>IF(P51=J51,I51,IF(P51=L51,K51,M51))</f>
        <v/>
      </c>
      <c r="P51" s="3">
        <f>MIN(J51,L51,N51)</f>
        <v/>
      </c>
      <c r="Q51">
        <f>G51*P51</f>
        <v/>
      </c>
      <c r="R51">
        <f>IF(ISBLANK(H51),0,G51*H51)</f>
        <v/>
      </c>
      <c r="S51">
        <f>IF(R51=0,0,(R51-Q51)/R51)</f>
        <v/>
      </c>
    </row>
    <row r="52">
      <c r="A52" t="inlineStr">
        <is>
          <t>A6244</t>
        </is>
      </c>
      <c r="B52" t="inlineStr">
        <is>
          <t>S01</t>
        </is>
      </c>
      <c r="C52" t="inlineStr">
        <is>
          <t>HYDROGEL DRESSING, WOUND COVER, STERILE, PAD SIZE MORE THAN 48 SQ. IN., WITHOUT ADHESIVE BORDER, EACH DRESSING</t>
        </is>
      </c>
      <c r="D52" t="n">
        <v>3</v>
      </c>
      <c r="E52" s="2" t="n">
        <v>54.89</v>
      </c>
      <c r="F52" t="inlineStr"/>
      <c r="G52" s="2" t="inlineStr"/>
      <c r="H52" t="inlineStr"/>
      <c r="I52" s="2" t="inlineStr"/>
      <c r="J52" t="inlineStr"/>
      <c r="K52" s="2" t="inlineStr"/>
      <c r="L52" t="inlineStr"/>
      <c r="M52" s="2" t="inlineStr"/>
      <c r="N52" s="2" t="inlineStr"/>
      <c r="O52" s="2">
        <f>IF(P52=J52,I52,IF(P52=L52,K52,M52))</f>
        <v/>
      </c>
      <c r="P52" s="3">
        <f>MIN(J52,L52,N52)</f>
        <v/>
      </c>
      <c r="Q52">
        <f>G52*P52</f>
        <v/>
      </c>
      <c r="R52">
        <f>IF(ISBLANK(H52),0,G52*H52)</f>
        <v/>
      </c>
      <c r="S52">
        <f>IF(R52=0,0,(R52-Q52)/R52)</f>
        <v/>
      </c>
    </row>
    <row r="53">
      <c r="A53" t="inlineStr">
        <is>
          <t>A6242</t>
        </is>
      </c>
      <c r="B53" t="inlineStr">
        <is>
          <t>S01</t>
        </is>
      </c>
      <c r="C53" t="inlineStr">
        <is>
          <t>HYDROGEL DRESSING, WOUND COVER, STERILE, PAD SIZE 16 SQ. IN. OR LESS, WITHOUT ADHESIVE BORDER, EACH DRESSING</t>
        </is>
      </c>
      <c r="D53" t="n">
        <v>3</v>
      </c>
      <c r="E53" s="2" t="n">
        <v>8.460000000000001</v>
      </c>
      <c r="F53" t="inlineStr"/>
      <c r="G53" s="2" t="inlineStr"/>
      <c r="H53" t="inlineStr"/>
      <c r="I53" s="2" t="inlineStr"/>
      <c r="J53" t="inlineStr"/>
      <c r="K53" s="2" t="inlineStr"/>
      <c r="L53" t="inlineStr"/>
      <c r="M53" s="2" t="inlineStr"/>
      <c r="N53" s="2" t="inlineStr"/>
      <c r="O53" s="2">
        <f>IF(P53=J53,I53,IF(P53=L53,K53,M53))</f>
        <v/>
      </c>
      <c r="P53" s="3">
        <f>MIN(J53,L53,N53)</f>
        <v/>
      </c>
      <c r="Q53">
        <f>G53*P53</f>
        <v/>
      </c>
      <c r="R53">
        <f>IF(ISBLANK(H53),0,G53*H53)</f>
        <v/>
      </c>
      <c r="S53">
        <f>IF(R53=0,0,(R53-Q53)/R53)</f>
        <v/>
      </c>
    </row>
    <row r="54">
      <c r="A54" t="inlineStr">
        <is>
          <t>A6241</t>
        </is>
      </c>
      <c r="B54" t="inlineStr">
        <is>
          <t>S01</t>
        </is>
      </c>
      <c r="C54" t="inlineStr">
        <is>
          <t>HYDROCOLLOID DRESSING, WOUND FILLER, DRY FORM, STERILE, PER GRAM</t>
        </is>
      </c>
      <c r="D54" t="n">
        <v>3</v>
      </c>
      <c r="E54" s="2" t="n">
        <v>3.59</v>
      </c>
      <c r="F54" t="inlineStr"/>
      <c r="G54" s="2" t="inlineStr"/>
      <c r="H54" t="inlineStr"/>
      <c r="I54" s="2" t="inlineStr"/>
      <c r="J54" t="inlineStr"/>
      <c r="K54" s="2" t="inlineStr"/>
      <c r="L54" t="inlineStr"/>
      <c r="M54" s="2" t="inlineStr"/>
      <c r="N54" s="2" t="inlineStr"/>
      <c r="O54" s="2">
        <f>IF(P54=J54,I54,IF(P54=L54,K54,M54))</f>
        <v/>
      </c>
      <c r="P54" s="3">
        <f>MIN(J54,L54,N54)</f>
        <v/>
      </c>
      <c r="Q54">
        <f>G54*P54</f>
        <v/>
      </c>
      <c r="R54">
        <f>IF(ISBLANK(H54),0,G54*H54)</f>
        <v/>
      </c>
      <c r="S54">
        <f>IF(R54=0,0,(R54-Q54)/R54)</f>
        <v/>
      </c>
    </row>
    <row r="55">
      <c r="A55" t="inlineStr">
        <is>
          <t>A6240</t>
        </is>
      </c>
      <c r="B55" t="inlineStr">
        <is>
          <t>S01</t>
        </is>
      </c>
      <c r="C55" t="inlineStr">
        <is>
          <t>HYDROCOLLOID DRESSING, WOUND FILLER, PASTE, STERILE, PER OUNCE</t>
        </is>
      </c>
      <c r="D55" t="n">
        <v>3</v>
      </c>
      <c r="E55" s="2" t="n">
        <v>17.11</v>
      </c>
      <c r="F55" t="inlineStr"/>
      <c r="G55" s="2" t="inlineStr"/>
      <c r="H55" t="inlineStr"/>
      <c r="I55" s="2" t="inlineStr"/>
      <c r="J55" t="inlineStr"/>
      <c r="K55" s="2" t="inlineStr"/>
      <c r="L55" t="inlineStr"/>
      <c r="M55" s="2" t="inlineStr"/>
      <c r="N55" s="2" t="inlineStr"/>
      <c r="O55" s="2">
        <f>IF(P55=J55,I55,IF(P55=L55,K55,M55))</f>
        <v/>
      </c>
      <c r="P55" s="3">
        <f>MIN(J55,L55,N55)</f>
        <v/>
      </c>
      <c r="Q55">
        <f>G55*P55</f>
        <v/>
      </c>
      <c r="R55">
        <f>IF(ISBLANK(H55),0,G55*H55)</f>
        <v/>
      </c>
      <c r="S55">
        <f>IF(R55=0,0,(R55-Q55)/R55)</f>
        <v/>
      </c>
    </row>
    <row r="56">
      <c r="A56" t="inlineStr">
        <is>
          <t>E2222</t>
        </is>
      </c>
      <c r="B56" t="inlineStr">
        <is>
          <t>M06A</t>
        </is>
      </c>
      <c r="C56" t="inlineStr">
        <is>
          <t>MANUAL WHEELCHAIR ACCESSORY, SOLID (RUBBER/PLASTIC) CASTER TIRE WITH INTEGRATED WHEEL, ANY SIZE, REPLACEMENT ONLY, EACH</t>
        </is>
      </c>
      <c r="D56" t="n">
        <v>3</v>
      </c>
      <c r="E56" s="2" t="n">
        <v>23.73</v>
      </c>
      <c r="F56" t="inlineStr"/>
      <c r="G56" s="2" t="inlineStr"/>
      <c r="H56" t="inlineStr"/>
      <c r="I56" s="2" t="inlineStr"/>
      <c r="J56" t="inlineStr"/>
      <c r="K56" s="2" t="inlineStr"/>
      <c r="L56" t="inlineStr"/>
      <c r="M56" s="2" t="inlineStr"/>
      <c r="N56" s="2" t="inlineStr"/>
      <c r="O56" s="2">
        <f>IF(P56=J56,I56,IF(P56=L56,K56,M56))</f>
        <v/>
      </c>
      <c r="P56" s="3">
        <f>MIN(J56,L56,N56)</f>
        <v/>
      </c>
      <c r="Q56">
        <f>G56*P56</f>
        <v/>
      </c>
      <c r="R56">
        <f>IF(ISBLANK(H56),0,G56*H56)</f>
        <v/>
      </c>
      <c r="S56">
        <f>IF(R56=0,0,(R56-Q56)/R56)</f>
        <v/>
      </c>
    </row>
    <row r="57">
      <c r="A57" t="inlineStr">
        <is>
          <t>E2221</t>
        </is>
      </c>
      <c r="B57" t="inlineStr">
        <is>
          <t>M06A</t>
        </is>
      </c>
      <c r="C57" t="inlineStr">
        <is>
          <t>MANUAL WHEELCHAIR ACCESSORY, SOLID (RUBBER/PLASTIC) CASTER TIRE (REMOVABLE), ANY SIZE, REPLACEMENT ONLY, EACH</t>
        </is>
      </c>
      <c r="D57" t="n">
        <v>3</v>
      </c>
      <c r="E57" s="2" t="n">
        <v>28.73</v>
      </c>
      <c r="F57" t="inlineStr"/>
      <c r="G57" s="2" t="inlineStr"/>
      <c r="H57" t="inlineStr"/>
      <c r="I57" s="2" t="inlineStr"/>
      <c r="J57" t="inlineStr"/>
      <c r="K57" s="2" t="inlineStr"/>
      <c r="L57" t="inlineStr"/>
      <c r="M57" s="2" t="inlineStr"/>
      <c r="N57" s="2" t="inlineStr"/>
      <c r="O57" s="2">
        <f>IF(P57=J57,I57,IF(P57=L57,K57,M57))</f>
        <v/>
      </c>
      <c r="P57" s="3">
        <f>MIN(J57,L57,N57)</f>
        <v/>
      </c>
      <c r="Q57">
        <f>G57*P57</f>
        <v/>
      </c>
      <c r="R57">
        <f>IF(ISBLANK(H57),0,G57*H57)</f>
        <v/>
      </c>
      <c r="S57">
        <f>IF(R57=0,0,(R57-Q57)/R57)</f>
        <v/>
      </c>
    </row>
    <row r="58">
      <c r="A58" t="inlineStr">
        <is>
          <t>E2220</t>
        </is>
      </c>
      <c r="B58" t="inlineStr">
        <is>
          <t>M06A</t>
        </is>
      </c>
      <c r="C58" t="inlineStr">
        <is>
          <t>MANUAL WHEELCHAIR ACCESSORY, SOLID (RUBBER/PLASTIC) PROPULSION TIRE, ANY SIZE, REPLACEMENT ONLY, EACH</t>
        </is>
      </c>
      <c r="D58" t="n">
        <v>3</v>
      </c>
      <c r="E58" s="2" t="n">
        <v>29.97</v>
      </c>
      <c r="F58" t="inlineStr"/>
      <c r="G58" s="2" t="inlineStr"/>
      <c r="H58" t="inlineStr"/>
      <c r="I58" s="2" t="inlineStr"/>
      <c r="J58" t="inlineStr"/>
      <c r="K58" s="2" t="inlineStr"/>
      <c r="L58" t="inlineStr"/>
      <c r="M58" s="2" t="inlineStr"/>
      <c r="N58" s="2" t="inlineStr"/>
      <c r="O58" s="2">
        <f>IF(P58=J58,I58,IF(P58=L58,K58,M58))</f>
        <v/>
      </c>
      <c r="P58" s="3">
        <f>MIN(J58,L58,N58)</f>
        <v/>
      </c>
      <c r="Q58">
        <f>G58*P58</f>
        <v/>
      </c>
      <c r="R58">
        <f>IF(ISBLANK(H58),0,G58*H58)</f>
        <v/>
      </c>
      <c r="S58">
        <f>IF(R58=0,0,(R58-Q58)/R58)</f>
        <v/>
      </c>
    </row>
    <row r="59">
      <c r="A59" t="inlineStr">
        <is>
          <t>E2212</t>
        </is>
      </c>
      <c r="B59" t="inlineStr">
        <is>
          <t>M06A</t>
        </is>
      </c>
      <c r="C59" t="inlineStr">
        <is>
          <t>MANUAL WHEELCHAIR ACCESSORY, TUBE FOR PNEUMATIC PROPULSION TIRE, ANY SIZE, EACH</t>
        </is>
      </c>
      <c r="D59" t="n">
        <v>3</v>
      </c>
      <c r="E59" s="2" t="n">
        <v>6.31</v>
      </c>
      <c r="F59" t="inlineStr"/>
      <c r="G59" s="2" t="inlineStr"/>
      <c r="H59" t="inlineStr"/>
      <c r="I59" s="2" t="inlineStr"/>
      <c r="J59" t="inlineStr"/>
      <c r="K59" s="2" t="inlineStr"/>
      <c r="L59" t="inlineStr"/>
      <c r="M59" s="2" t="inlineStr"/>
      <c r="N59" s="2" t="inlineStr"/>
      <c r="O59" s="2">
        <f>IF(P59=J59,I59,IF(P59=L59,K59,M59))</f>
        <v/>
      </c>
      <c r="P59" s="3">
        <f>MIN(J59,L59,N59)</f>
        <v/>
      </c>
      <c r="Q59">
        <f>G59*P59</f>
        <v/>
      </c>
      <c r="R59">
        <f>IF(ISBLANK(H59),0,G59*H59)</f>
        <v/>
      </c>
      <c r="S59">
        <f>IF(R59=0,0,(R59-Q59)/R59)</f>
        <v/>
      </c>
    </row>
    <row r="60">
      <c r="A60" t="inlineStr">
        <is>
          <t>E2228</t>
        </is>
      </c>
      <c r="B60" t="inlineStr">
        <is>
          <t>M06A</t>
        </is>
      </c>
      <c r="C60" t="inlineStr">
        <is>
          <t>MANUAL WHEELCHAIR ACCESSORY, WHEEL BRAKING SYSTEM AND LOCK, COMPLETE, EACH</t>
        </is>
      </c>
      <c r="D60" t="n">
        <v>3</v>
      </c>
      <c r="E60" s="2" t="n">
        <v>103.85</v>
      </c>
      <c r="F60" t="inlineStr"/>
      <c r="G60" s="2" t="inlineStr"/>
      <c r="H60" t="inlineStr"/>
      <c r="I60" s="2" t="inlineStr"/>
      <c r="J60" t="inlineStr"/>
      <c r="K60" s="2" t="inlineStr"/>
      <c r="L60" t="inlineStr"/>
      <c r="M60" s="2" t="inlineStr"/>
      <c r="N60" s="2" t="inlineStr"/>
      <c r="O60" s="2">
        <f>IF(P60=J60,I60,IF(P60=L60,K60,M60))</f>
        <v/>
      </c>
      <c r="P60" s="3">
        <f>MIN(J60,L60,N60)</f>
        <v/>
      </c>
      <c r="Q60">
        <f>G60*P60</f>
        <v/>
      </c>
      <c r="R60">
        <f>IF(ISBLANK(H60),0,G60*H60)</f>
        <v/>
      </c>
      <c r="S60">
        <f>IF(R60=0,0,(R60-Q60)/R60)</f>
        <v/>
      </c>
    </row>
    <row r="61">
      <c r="A61" t="inlineStr">
        <is>
          <t>K0045</t>
        </is>
      </c>
      <c r="B61" t="inlineStr">
        <is>
          <t>M06A</t>
        </is>
      </c>
      <c r="C61" t="inlineStr">
        <is>
          <t>FOOTREST, COMPLETE ASSEMBLY, REPLACEMENT ONLY, EACH</t>
        </is>
      </c>
      <c r="D61" t="n">
        <v>3</v>
      </c>
      <c r="E61" s="2" t="n">
        <v>66.84999999999999</v>
      </c>
      <c r="F61" t="inlineStr"/>
      <c r="G61" s="2" t="inlineStr"/>
      <c r="H61" t="inlineStr"/>
      <c r="I61" s="2" t="inlineStr"/>
      <c r="J61" t="inlineStr"/>
      <c r="K61" s="2" t="inlineStr"/>
      <c r="L61" t="inlineStr"/>
      <c r="M61" s="2" t="inlineStr"/>
      <c r="N61" s="2" t="inlineStr"/>
      <c r="O61" s="2">
        <f>IF(P61=J61,I61,IF(P61=L61,K61,M61))</f>
        <v/>
      </c>
      <c r="P61" s="3">
        <f>MIN(J61,L61,N61)</f>
        <v/>
      </c>
      <c r="Q61">
        <f>G61*P61</f>
        <v/>
      </c>
      <c r="R61">
        <f>IF(ISBLANK(H61),0,G61*H61)</f>
        <v/>
      </c>
      <c r="S61">
        <f>IF(R61=0,0,(R61-Q61)/R61)</f>
        <v/>
      </c>
    </row>
    <row r="62">
      <c r="A62" t="inlineStr">
        <is>
          <t>K0039</t>
        </is>
      </c>
      <c r="B62" t="inlineStr">
        <is>
          <t>M06A</t>
        </is>
      </c>
      <c r="C62" t="inlineStr">
        <is>
          <t>LEG STRAP, H STYLE, EACH</t>
        </is>
      </c>
      <c r="D62" t="n">
        <v>3</v>
      </c>
      <c r="E62" s="2" t="n">
        <v>61.65</v>
      </c>
      <c r="F62" t="inlineStr"/>
      <c r="G62" s="2" t="inlineStr"/>
      <c r="H62" t="inlineStr"/>
      <c r="I62" s="2" t="inlineStr"/>
      <c r="J62" t="inlineStr"/>
      <c r="K62" s="2" t="inlineStr"/>
      <c r="L62" t="inlineStr"/>
      <c r="M62" s="2" t="inlineStr"/>
      <c r="N62" s="2" t="inlineStr"/>
      <c r="O62" s="2">
        <f>IF(P62=J62,I62,IF(P62=L62,K62,M62))</f>
        <v/>
      </c>
      <c r="P62" s="3">
        <f>MIN(J62,L62,N62)</f>
        <v/>
      </c>
      <c r="Q62">
        <f>G62*P62</f>
        <v/>
      </c>
      <c r="R62">
        <f>IF(ISBLANK(H62),0,G62*H62)</f>
        <v/>
      </c>
      <c r="S62">
        <f>IF(R62=0,0,(R62-Q62)/R62)</f>
        <v/>
      </c>
    </row>
    <row r="63">
      <c r="A63" t="inlineStr">
        <is>
          <t>E2224</t>
        </is>
      </c>
      <c r="B63" t="inlineStr">
        <is>
          <t>M06A</t>
        </is>
      </c>
      <c r="C63" t="inlineStr">
        <is>
          <t>MANUAL WHEELCHAIR ACCESSORY, PROPULSION WHEEL EXCLUDES TIRE, ANY SIZE, REPLACEMENT ONLY, EACH</t>
        </is>
      </c>
      <c r="D63" t="n">
        <v>3</v>
      </c>
      <c r="E63" s="2" t="n">
        <v>101.18</v>
      </c>
      <c r="F63" t="inlineStr"/>
      <c r="G63" s="2" t="inlineStr"/>
      <c r="H63" t="inlineStr"/>
      <c r="I63" s="2" t="inlineStr"/>
      <c r="J63" t="inlineStr"/>
      <c r="K63" s="2" t="inlineStr"/>
      <c r="L63" t="inlineStr"/>
      <c r="M63" s="2" t="inlineStr"/>
      <c r="N63" s="2" t="inlineStr"/>
      <c r="O63" s="2">
        <f>IF(P63=J63,I63,IF(P63=L63,K63,M63))</f>
        <v/>
      </c>
      <c r="P63" s="3">
        <f>MIN(J63,L63,N63)</f>
        <v/>
      </c>
      <c r="Q63">
        <f>G63*P63</f>
        <v/>
      </c>
      <c r="R63">
        <f>IF(ISBLANK(H63),0,G63*H63)</f>
        <v/>
      </c>
      <c r="S63">
        <f>IF(R63=0,0,(R63-Q63)/R63)</f>
        <v/>
      </c>
    </row>
    <row r="64">
      <c r="A64" t="inlineStr">
        <is>
          <t>E0961</t>
        </is>
      </c>
      <c r="B64" t="inlineStr">
        <is>
          <t>M06A</t>
        </is>
      </c>
      <c r="C64" t="inlineStr">
        <is>
          <t>MANUAL WHEELCHAIR ACCESSORY, WHEEL LOCK BRAKE EXTENSION (HANDLE), EACH</t>
        </is>
      </c>
      <c r="D64" t="n">
        <v>3</v>
      </c>
      <c r="E64" s="2" t="n">
        <v>19.97</v>
      </c>
      <c r="F64" t="inlineStr"/>
      <c r="G64" s="2" t="inlineStr"/>
      <c r="H64" t="inlineStr"/>
      <c r="I64" s="2" t="inlineStr"/>
      <c r="J64" t="inlineStr"/>
      <c r="K64" s="2" t="inlineStr"/>
      <c r="L64" t="inlineStr"/>
      <c r="M64" s="2" t="inlineStr"/>
      <c r="N64" s="2" t="inlineStr"/>
      <c r="O64" s="2">
        <f>IF(P64=J64,I64,IF(P64=L64,K64,M64))</f>
        <v/>
      </c>
      <c r="P64" s="3">
        <f>MIN(J64,L64,N64)</f>
        <v/>
      </c>
      <c r="Q64">
        <f>G64*P64</f>
        <v/>
      </c>
      <c r="R64">
        <f>IF(ISBLANK(H64),0,G64*H64)</f>
        <v/>
      </c>
      <c r="S64">
        <f>IF(R64=0,0,(R64-Q64)/R64)</f>
        <v/>
      </c>
    </row>
    <row r="65">
      <c r="A65" t="inlineStr">
        <is>
          <t>E0954</t>
        </is>
      </c>
      <c r="B65" t="inlineStr">
        <is>
          <t>M06A</t>
        </is>
      </c>
      <c r="C65" t="inlineStr">
        <is>
          <t>WHEELCHAIR ACCESSORY, FOOT BOX, ANY TYPE, INCLUDES ATTACHMENT AND MOUNTING HARDWARE, EACH FOOT</t>
        </is>
      </c>
      <c r="D65" t="n">
        <v>3</v>
      </c>
      <c r="E65" s="2" t="n">
        <v>63.39</v>
      </c>
      <c r="F65" t="inlineStr"/>
      <c r="G65" s="2" t="inlineStr"/>
      <c r="H65" t="inlineStr"/>
      <c r="I65" s="2" t="inlineStr"/>
      <c r="J65" t="inlineStr"/>
      <c r="K65" s="2" t="inlineStr"/>
      <c r="L65" t="inlineStr"/>
      <c r="M65" s="2" t="inlineStr"/>
      <c r="N65" s="2" t="inlineStr"/>
      <c r="O65" s="2">
        <f>IF(P65=J65,I65,IF(P65=L65,K65,M65))</f>
        <v/>
      </c>
      <c r="P65" s="3">
        <f>MIN(J65,L65,N65)</f>
        <v/>
      </c>
      <c r="Q65">
        <f>G65*P65</f>
        <v/>
      </c>
      <c r="R65">
        <f>IF(ISBLANK(H65),0,G65*H65)</f>
        <v/>
      </c>
      <c r="S65">
        <f>IF(R65=0,0,(R65-Q65)/R65)</f>
        <v/>
      </c>
    </row>
    <row r="66">
      <c r="A66" t="inlineStr">
        <is>
          <t>E0988</t>
        </is>
      </c>
      <c r="B66" t="inlineStr">
        <is>
          <t>M06A</t>
        </is>
      </c>
      <c r="C66" t="inlineStr">
        <is>
          <t>MANUAL WHEELCHAIR ACCESSORY, LEVER-ACTIVATED, WHEEL DRIVE, PAIR</t>
        </is>
      </c>
      <c r="D66" t="n">
        <v>3</v>
      </c>
      <c r="E66" s="2" t="n">
        <v>402.16</v>
      </c>
      <c r="F66" t="inlineStr"/>
      <c r="G66" s="2" t="inlineStr"/>
      <c r="H66" t="inlineStr"/>
      <c r="I66" s="2" t="inlineStr"/>
      <c r="J66" t="inlineStr"/>
      <c r="K66" s="2" t="inlineStr"/>
      <c r="L66" t="inlineStr"/>
      <c r="M66" s="2" t="inlineStr"/>
      <c r="N66" s="2" t="inlineStr"/>
      <c r="O66" s="2">
        <f>IF(P66=J66,I66,IF(P66=L66,K66,M66))</f>
        <v/>
      </c>
      <c r="P66" s="3">
        <f>MIN(J66,L66,N66)</f>
        <v/>
      </c>
      <c r="Q66">
        <f>G66*P66</f>
        <v/>
      </c>
      <c r="R66">
        <f>IF(ISBLANK(H66),0,G66*H66)</f>
        <v/>
      </c>
      <c r="S66">
        <f>IF(R66=0,0,(R66-Q66)/R66)</f>
        <v/>
      </c>
    </row>
    <row r="67">
      <c r="A67" t="inlineStr">
        <is>
          <t>E0995</t>
        </is>
      </c>
      <c r="B67" t="inlineStr">
        <is>
          <t>M06A</t>
        </is>
      </c>
      <c r="C67" t="inlineStr">
        <is>
          <t>WHEELCHAIR ACCESSORY, CALF REST/PAD, REPLACEMENT ONLY, EACH</t>
        </is>
      </c>
      <c r="D67" t="n">
        <v>3</v>
      </c>
      <c r="E67" s="2" t="n">
        <v>31.12</v>
      </c>
      <c r="F67" t="inlineStr"/>
      <c r="G67" s="2" t="inlineStr"/>
      <c r="H67" t="inlineStr"/>
      <c r="I67" s="2" t="inlineStr"/>
      <c r="J67" t="inlineStr"/>
      <c r="K67" s="2" t="inlineStr"/>
      <c r="L67" t="inlineStr"/>
      <c r="M67" s="2" t="inlineStr"/>
      <c r="N67" s="2" t="inlineStr"/>
      <c r="O67" s="2">
        <f>IF(P67=J67,I67,IF(P67=L67,K67,M67))</f>
        <v/>
      </c>
      <c r="P67" s="3">
        <f>MIN(J67,L67,N67)</f>
        <v/>
      </c>
      <c r="Q67">
        <f>G67*P67</f>
        <v/>
      </c>
      <c r="R67">
        <f>IF(ISBLANK(H67),0,G67*H67)</f>
        <v/>
      </c>
      <c r="S67">
        <f>IF(R67=0,0,(R67-Q67)/R67)</f>
        <v/>
      </c>
    </row>
    <row r="68">
      <c r="A68" t="inlineStr">
        <is>
          <t>E0952</t>
        </is>
      </c>
      <c r="B68" t="inlineStr">
        <is>
          <t>M06A</t>
        </is>
      </c>
      <c r="C68" t="inlineStr">
        <is>
          <t>TOE LOOP/HOLDER, ANY TYPE, EACH</t>
        </is>
      </c>
      <c r="D68" t="n">
        <v>3</v>
      </c>
      <c r="E68" s="2" t="n">
        <v>20.19</v>
      </c>
      <c r="F68" t="inlineStr"/>
      <c r="G68" s="2" t="inlineStr"/>
      <c r="H68" t="inlineStr"/>
      <c r="I68" s="2" t="inlineStr"/>
      <c r="J68" t="inlineStr"/>
      <c r="K68" s="2" t="inlineStr"/>
      <c r="L68" t="inlineStr"/>
      <c r="M68" s="2" t="inlineStr"/>
      <c r="N68" s="2" t="inlineStr"/>
      <c r="O68" s="2">
        <f>IF(P68=J68,I68,IF(P68=L68,K68,M68))</f>
        <v/>
      </c>
      <c r="P68" s="3">
        <f>MIN(J68,L68,N68)</f>
        <v/>
      </c>
      <c r="Q68">
        <f>G68*P68</f>
        <v/>
      </c>
      <c r="R68">
        <f>IF(ISBLANK(H68),0,G68*H68)</f>
        <v/>
      </c>
      <c r="S68">
        <f>IF(R68=0,0,(R68-Q68)/R68)</f>
        <v/>
      </c>
    </row>
    <row r="69">
      <c r="A69" t="inlineStr">
        <is>
          <t>E0951</t>
        </is>
      </c>
      <c r="B69" t="inlineStr">
        <is>
          <t>M06A</t>
        </is>
      </c>
      <c r="C69" t="inlineStr">
        <is>
          <t>HEEL LOOP/HOLDER, ANY TYPE, WITH OR WITHOUT ANKLE STRAP, EACH</t>
        </is>
      </c>
      <c r="D69" t="n">
        <v>3</v>
      </c>
      <c r="E69" s="2" t="n">
        <v>13.05</v>
      </c>
      <c r="F69" t="inlineStr"/>
      <c r="G69" s="2" t="inlineStr"/>
      <c r="H69" t="inlineStr"/>
      <c r="I69" s="2" t="inlineStr"/>
      <c r="J69" t="inlineStr"/>
      <c r="K69" s="2" t="inlineStr"/>
      <c r="L69" t="inlineStr"/>
      <c r="M69" s="2" t="inlineStr"/>
      <c r="N69" s="2" t="inlineStr"/>
      <c r="O69" s="2">
        <f>IF(P69=J69,I69,IF(P69=L69,K69,M69))</f>
        <v/>
      </c>
      <c r="P69" s="3">
        <f>MIN(J69,L69,N69)</f>
        <v/>
      </c>
      <c r="Q69">
        <f>G69*P69</f>
        <v/>
      </c>
      <c r="R69">
        <f>IF(ISBLANK(H69),0,G69*H69)</f>
        <v/>
      </c>
      <c r="S69">
        <f>IF(R69=0,0,(R69-Q69)/R69)</f>
        <v/>
      </c>
    </row>
    <row r="70">
      <c r="A70" t="inlineStr">
        <is>
          <t>E0950</t>
        </is>
      </c>
      <c r="B70" t="inlineStr">
        <is>
          <t>M06A</t>
        </is>
      </c>
      <c r="C70" t="inlineStr">
        <is>
          <t>WHEELCHAIR ACCESSORY, TRAY, EACH</t>
        </is>
      </c>
      <c r="D70" t="n">
        <v>3</v>
      </c>
      <c r="E70" s="2" t="n">
        <v>81.18000000000001</v>
      </c>
      <c r="F70" t="inlineStr"/>
      <c r="G70" s="2" t="inlineStr"/>
      <c r="H70" t="inlineStr"/>
      <c r="I70" s="2" t="inlineStr"/>
      <c r="J70" t="inlineStr"/>
      <c r="K70" s="2" t="inlineStr"/>
      <c r="L70" t="inlineStr"/>
      <c r="M70" s="2" t="inlineStr"/>
      <c r="N70" s="2" t="inlineStr"/>
      <c r="O70" s="2">
        <f>IF(P70=J70,I70,IF(P70=L70,K70,M70))</f>
        <v/>
      </c>
      <c r="P70" s="3">
        <f>MIN(J70,L70,N70)</f>
        <v/>
      </c>
      <c r="Q70">
        <f>G70*P70</f>
        <v/>
      </c>
      <c r="R70">
        <f>IF(ISBLANK(H70),0,G70*H70)</f>
        <v/>
      </c>
      <c r="S70">
        <f>IF(R70=0,0,(R70-Q70)/R70)</f>
        <v/>
      </c>
    </row>
    <row r="71">
      <c r="A71" t="inlineStr">
        <is>
          <t>E0705</t>
        </is>
      </c>
      <c r="B71" t="inlineStr">
        <is>
          <t>M06A</t>
        </is>
      </c>
      <c r="C71" t="inlineStr">
        <is>
          <t>TRANSFER DEVICE, ANY TYPE, EACH</t>
        </is>
      </c>
      <c r="D71" t="n">
        <v>3</v>
      </c>
      <c r="E71" s="2" t="n">
        <v>49.97</v>
      </c>
      <c r="F71" t="inlineStr"/>
      <c r="G71" s="2" t="inlineStr"/>
      <c r="H71" t="inlineStr"/>
      <c r="I71" s="2" t="inlineStr"/>
      <c r="J71" t="inlineStr"/>
      <c r="K71" s="2" t="inlineStr"/>
      <c r="L71" t="inlineStr"/>
      <c r="M71" s="2" t="inlineStr"/>
      <c r="N71" s="2" t="inlineStr"/>
      <c r="O71" s="2">
        <f>IF(P71=J71,I71,IF(P71=L71,K71,M71))</f>
        <v/>
      </c>
      <c r="P71" s="3">
        <f>MIN(J71,L71,N71)</f>
        <v/>
      </c>
      <c r="Q71">
        <f>G71*P71</f>
        <v/>
      </c>
      <c r="R71">
        <f>IF(ISBLANK(H71),0,G71*H71)</f>
        <v/>
      </c>
      <c r="S71">
        <f>IF(R71=0,0,(R71-Q71)/R71)</f>
        <v/>
      </c>
    </row>
    <row r="72">
      <c r="A72" t="inlineStr">
        <is>
          <t>E0981</t>
        </is>
      </c>
      <c r="B72" t="inlineStr">
        <is>
          <t>M06A</t>
        </is>
      </c>
      <c r="C72" t="inlineStr">
        <is>
          <t>WHEELCHAIR ACCESSORY, SEAT UPHOLSTERY, REPLACEMENT ONLY, EACH</t>
        </is>
      </c>
      <c r="D72" t="n">
        <v>3</v>
      </c>
      <c r="E72" s="2" t="n">
        <v>50.61</v>
      </c>
      <c r="F72" t="inlineStr"/>
      <c r="G72" s="2" t="inlineStr"/>
      <c r="H72" t="inlineStr"/>
      <c r="I72" s="2" t="inlineStr"/>
      <c r="J72" t="inlineStr"/>
      <c r="K72" s="2" t="inlineStr"/>
      <c r="L72" t="inlineStr"/>
      <c r="M72" s="2" t="inlineStr"/>
      <c r="N72" s="2" t="inlineStr"/>
      <c r="O72" s="2">
        <f>IF(P72=J72,I72,IF(P72=L72,K72,M72))</f>
        <v/>
      </c>
      <c r="P72" s="3">
        <f>MIN(J72,L72,N72)</f>
        <v/>
      </c>
      <c r="Q72">
        <f>G72*P72</f>
        <v/>
      </c>
      <c r="R72">
        <f>IF(ISBLANK(H72),0,G72*H72)</f>
        <v/>
      </c>
      <c r="S72">
        <f>IF(R72=0,0,(R72-Q72)/R72)</f>
        <v/>
      </c>
    </row>
    <row r="73">
      <c r="A73" t="inlineStr">
        <is>
          <t>E0974</t>
        </is>
      </c>
      <c r="B73" t="inlineStr">
        <is>
          <t>M06A</t>
        </is>
      </c>
      <c r="C73" t="inlineStr">
        <is>
          <t>MANUAL WHEELCHAIR ACCESSORY, ANTI-ROLLBACK DEVICE, EACH</t>
        </is>
      </c>
      <c r="D73" t="n">
        <v>3</v>
      </c>
      <c r="E73" s="2" t="n">
        <v>71.53</v>
      </c>
      <c r="F73" t="inlineStr"/>
      <c r="G73" s="2" t="inlineStr"/>
      <c r="H73" t="inlineStr"/>
      <c r="I73" s="2" t="inlineStr"/>
      <c r="J73" t="inlineStr"/>
      <c r="K73" s="2" t="inlineStr"/>
      <c r="L73" t="inlineStr"/>
      <c r="M73" s="2" t="inlineStr"/>
      <c r="N73" s="2" t="inlineStr"/>
      <c r="O73" s="2">
        <f>IF(P73=J73,I73,IF(P73=L73,K73,M73))</f>
        <v/>
      </c>
      <c r="P73" s="3">
        <f>MIN(J73,L73,N73)</f>
        <v/>
      </c>
      <c r="Q73">
        <f>G73*P73</f>
        <v/>
      </c>
      <c r="R73">
        <f>IF(ISBLANK(H73),0,G73*H73)</f>
        <v/>
      </c>
      <c r="S73">
        <f>IF(R73=0,0,(R73-Q73)/R73)</f>
        <v/>
      </c>
    </row>
    <row r="74">
      <c r="A74" t="inlineStr">
        <is>
          <t>E0971</t>
        </is>
      </c>
      <c r="B74" t="inlineStr">
        <is>
          <t>M06A</t>
        </is>
      </c>
      <c r="C74" t="inlineStr">
        <is>
          <t>MANUAL WHEELCHAIR ACCESSORY, ANTI-TIPPING DEVICE, EACH</t>
        </is>
      </c>
      <c r="D74" t="n">
        <v>3</v>
      </c>
      <c r="E74" s="2" t="n">
        <v>33.75</v>
      </c>
      <c r="F74" t="inlineStr"/>
      <c r="G74" s="2" t="inlineStr"/>
      <c r="H74" t="inlineStr"/>
      <c r="I74" s="2" t="inlineStr"/>
      <c r="J74" t="inlineStr"/>
      <c r="K74" s="2" t="inlineStr"/>
      <c r="L74" t="inlineStr"/>
      <c r="M74" s="2" t="inlineStr"/>
      <c r="N74" s="2" t="inlineStr"/>
      <c r="O74" s="2">
        <f>IF(P74=J74,I74,IF(P74=L74,K74,M74))</f>
        <v/>
      </c>
      <c r="P74" s="3">
        <f>MIN(J74,L74,N74)</f>
        <v/>
      </c>
      <c r="Q74">
        <f>G74*P74</f>
        <v/>
      </c>
      <c r="R74">
        <f>IF(ISBLANK(H74),0,G74*H74)</f>
        <v/>
      </c>
      <c r="S74">
        <f>IF(R74=0,0,(R74-Q74)/R74)</f>
        <v/>
      </c>
    </row>
    <row r="75">
      <c r="A75" t="inlineStr">
        <is>
          <t>A6528</t>
        </is>
      </c>
      <c r="B75" t="inlineStr">
        <is>
          <t>S04</t>
        </is>
      </c>
      <c r="C75" t="inlineStr">
        <is>
          <t>GRADIENT COMPRESSION GARMENT, BRA, FOR NIGHTTIME USE, EACH</t>
        </is>
      </c>
      <c r="D75" t="n">
        <v>3</v>
      </c>
      <c r="E75" s="2" t="n">
        <v>648.9</v>
      </c>
      <c r="F75" t="inlineStr"/>
      <c r="G75" s="2" t="inlineStr"/>
      <c r="H75" t="inlineStr"/>
      <c r="I75" s="2" t="inlineStr"/>
      <c r="J75" t="inlineStr"/>
      <c r="K75" s="2" t="inlineStr"/>
      <c r="L75" t="inlineStr"/>
      <c r="M75" s="2" t="inlineStr"/>
      <c r="N75" s="2" t="inlineStr"/>
      <c r="O75" s="2">
        <f>IF(P75=J75,I75,IF(P75=L75,K75,M75))</f>
        <v/>
      </c>
      <c r="P75" s="3">
        <f>MIN(J75,L75,N75)</f>
        <v/>
      </c>
      <c r="Q75">
        <f>G75*P75</f>
        <v/>
      </c>
      <c r="R75">
        <f>IF(ISBLANK(H75),0,G75*H75)</f>
        <v/>
      </c>
      <c r="S75">
        <f>IF(R75=0,0,(R75-Q75)/R75)</f>
        <v/>
      </c>
    </row>
    <row r="76">
      <c r="A76" t="inlineStr">
        <is>
          <t>A6527</t>
        </is>
      </c>
      <c r="B76" t="inlineStr">
        <is>
          <t>S04</t>
        </is>
      </c>
      <c r="C76" t="inlineStr">
        <is>
          <t>GRADIENT COMPRESSION GARMENT, FULL LEG AND FOOT, PADDED, FOR NIGHTTIME USE, CUSTOM, EACH</t>
        </is>
      </c>
      <c r="D76" t="n">
        <v>3</v>
      </c>
      <c r="E76" s="2" t="n">
        <v>1240.94</v>
      </c>
      <c r="F76" t="inlineStr"/>
      <c r="G76" s="2" t="inlineStr"/>
      <c r="H76" t="inlineStr"/>
      <c r="I76" s="2" t="inlineStr"/>
      <c r="J76" t="inlineStr"/>
      <c r="K76" s="2" t="inlineStr"/>
      <c r="L76" t="inlineStr"/>
      <c r="M76" s="2" t="inlineStr"/>
      <c r="N76" s="2" t="inlineStr"/>
      <c r="O76" s="2">
        <f>IF(P76=J76,I76,IF(P76=L76,K76,M76))</f>
        <v/>
      </c>
      <c r="P76" s="3">
        <f>MIN(J76,L76,N76)</f>
        <v/>
      </c>
      <c r="Q76">
        <f>G76*P76</f>
        <v/>
      </c>
      <c r="R76">
        <f>IF(ISBLANK(H76),0,G76*H76)</f>
        <v/>
      </c>
      <c r="S76">
        <f>IF(R76=0,0,(R76-Q76)/R76)</f>
        <v/>
      </c>
    </row>
    <row r="77">
      <c r="A77" t="inlineStr">
        <is>
          <t>A6526</t>
        </is>
      </c>
      <c r="B77" t="inlineStr">
        <is>
          <t>S04</t>
        </is>
      </c>
      <c r="C77" t="inlineStr">
        <is>
          <t>GRADIENT COMPRESSION GARMENT, FULL LEG AND FOOT, PADDED, FOR NIGHTTIME USE, EACH</t>
        </is>
      </c>
      <c r="D77" t="n">
        <v>3</v>
      </c>
      <c r="E77" s="2" t="n">
        <v>674.84</v>
      </c>
      <c r="F77" t="inlineStr"/>
      <c r="G77" s="2" t="inlineStr"/>
      <c r="H77" t="inlineStr"/>
      <c r="I77" s="2" t="inlineStr"/>
      <c r="J77" t="inlineStr"/>
      <c r="K77" s="2" t="inlineStr"/>
      <c r="L77" t="inlineStr"/>
      <c r="M77" s="2" t="inlineStr"/>
      <c r="N77" s="2" t="inlineStr"/>
      <c r="O77" s="2">
        <f>IF(P77=J77,I77,IF(P77=L77,K77,M77))</f>
        <v/>
      </c>
      <c r="P77" s="3">
        <f>MIN(J77,L77,N77)</f>
        <v/>
      </c>
      <c r="Q77">
        <f>G77*P77</f>
        <v/>
      </c>
      <c r="R77">
        <f>IF(ISBLANK(H77),0,G77*H77)</f>
        <v/>
      </c>
      <c r="S77">
        <f>IF(R77=0,0,(R77-Q77)/R77)</f>
        <v/>
      </c>
    </row>
    <row r="78">
      <c r="A78" t="inlineStr">
        <is>
          <t>A6541</t>
        </is>
      </c>
      <c r="B78" t="inlineStr">
        <is>
          <t>S04</t>
        </is>
      </c>
      <c r="C78" t="inlineStr">
        <is>
          <t>GRADIENT COMPRESSION STOCKING, WAIST LENGTH, 40 MMHG OR GREATER, EACH</t>
        </is>
      </c>
      <c r="D78" t="n">
        <v>3</v>
      </c>
      <c r="E78" s="2" t="n">
        <v>134.58</v>
      </c>
      <c r="F78" t="inlineStr"/>
      <c r="G78" s="2" t="inlineStr"/>
      <c r="H78" t="inlineStr"/>
      <c r="I78" s="2" t="inlineStr"/>
      <c r="J78" t="inlineStr"/>
      <c r="K78" s="2" t="inlineStr"/>
      <c r="L78" t="inlineStr"/>
      <c r="M78" s="2" t="inlineStr"/>
      <c r="N78" s="2" t="inlineStr"/>
      <c r="O78" s="2">
        <f>IF(P78=J78,I78,IF(P78=L78,K78,M78))</f>
        <v/>
      </c>
      <c r="P78" s="3">
        <f>MIN(J78,L78,N78)</f>
        <v/>
      </c>
      <c r="Q78">
        <f>G78*P78</f>
        <v/>
      </c>
      <c r="R78">
        <f>IF(ISBLANK(H78),0,G78*H78)</f>
        <v/>
      </c>
      <c r="S78">
        <f>IF(R78=0,0,(R78-Q78)/R78)</f>
        <v/>
      </c>
    </row>
    <row r="79">
      <c r="A79" t="inlineStr">
        <is>
          <t>A6154</t>
        </is>
      </c>
      <c r="B79" t="inlineStr">
        <is>
          <t>S01</t>
        </is>
      </c>
      <c r="C79" t="inlineStr">
        <is>
          <t>WOUND POUCH, EACH</t>
        </is>
      </c>
      <c r="D79" t="n">
        <v>3</v>
      </c>
      <c r="E79" s="2" t="n">
        <v>20.09</v>
      </c>
      <c r="F79" t="inlineStr"/>
      <c r="G79" s="2" t="inlineStr"/>
      <c r="H79" t="inlineStr"/>
      <c r="I79" s="2" t="inlineStr"/>
      <c r="J79" t="inlineStr"/>
      <c r="K79" s="2" t="inlineStr"/>
      <c r="L79" t="inlineStr"/>
      <c r="M79" s="2" t="inlineStr"/>
      <c r="N79" s="2" t="inlineStr"/>
      <c r="O79" s="2">
        <f>IF(P79=J79,I79,IF(P79=L79,K79,M79))</f>
        <v/>
      </c>
      <c r="P79" s="3">
        <f>MIN(J79,L79,N79)</f>
        <v/>
      </c>
      <c r="Q79">
        <f>G79*P79</f>
        <v/>
      </c>
      <c r="R79">
        <f>IF(ISBLANK(H79),0,G79*H79)</f>
        <v/>
      </c>
      <c r="S79">
        <f>IF(R79=0,0,(R79-Q79)/R79)</f>
        <v/>
      </c>
    </row>
    <row r="80">
      <c r="A80" t="inlineStr">
        <is>
          <t>A6024</t>
        </is>
      </c>
      <c r="B80" t="inlineStr">
        <is>
          <t>S01</t>
        </is>
      </c>
      <c r="C80" t="inlineStr">
        <is>
          <t>COLLAGEN DRESSING WOUND FILLER, STERILE, PER 6 INCHES</t>
        </is>
      </c>
      <c r="D80" t="n">
        <v>3</v>
      </c>
      <c r="E80" s="2" t="n">
        <v>8.640000000000001</v>
      </c>
      <c r="F80" t="inlineStr"/>
      <c r="G80" s="2" t="inlineStr"/>
      <c r="H80" t="inlineStr"/>
      <c r="I80" s="2" t="inlineStr"/>
      <c r="J80" t="inlineStr"/>
      <c r="K80" s="2" t="inlineStr"/>
      <c r="L80" t="inlineStr"/>
      <c r="M80" s="2" t="inlineStr"/>
      <c r="N80" s="2" t="inlineStr"/>
      <c r="O80" s="2">
        <f>IF(P80=J80,I80,IF(P80=L80,K80,M80))</f>
        <v/>
      </c>
      <c r="P80" s="3">
        <f>MIN(J80,L80,N80)</f>
        <v/>
      </c>
      <c r="Q80">
        <f>G80*P80</f>
        <v/>
      </c>
      <c r="R80">
        <f>IF(ISBLANK(H80),0,G80*H80)</f>
        <v/>
      </c>
      <c r="S80">
        <f>IF(R80=0,0,(R80-Q80)/R80)</f>
        <v/>
      </c>
    </row>
    <row r="81">
      <c r="A81" t="inlineStr">
        <is>
          <t>A6211</t>
        </is>
      </c>
      <c r="B81" t="inlineStr">
        <is>
          <t>S01</t>
        </is>
      </c>
      <c r="C81" t="inlineStr">
        <is>
          <t>FOAM DRESSING, WOUND COVER, STERILE, PAD SIZE MORE THAN 48 SQ. IN., WITHOUT ADHESIVE BORDER, EACH DRESSING</t>
        </is>
      </c>
      <c r="D81" t="n">
        <v>3</v>
      </c>
      <c r="E81" s="2" t="n">
        <v>41.04</v>
      </c>
      <c r="F81" t="inlineStr"/>
      <c r="G81" s="2" t="inlineStr"/>
      <c r="H81" t="inlineStr"/>
      <c r="I81" s="2" t="inlineStr"/>
      <c r="J81" t="inlineStr"/>
      <c r="K81" s="2" t="inlineStr"/>
      <c r="L81" t="inlineStr"/>
      <c r="M81" s="2" t="inlineStr"/>
      <c r="N81" s="2" t="inlineStr"/>
      <c r="O81" s="2">
        <f>IF(P81=J81,I81,IF(P81=L81,K81,M81))</f>
        <v/>
      </c>
      <c r="P81" s="3">
        <f>MIN(J81,L81,N81)</f>
        <v/>
      </c>
      <c r="Q81">
        <f>G81*P81</f>
        <v/>
      </c>
      <c r="R81">
        <f>IF(ISBLANK(H81),0,G81*H81)</f>
        <v/>
      </c>
      <c r="S81">
        <f>IF(R81=0,0,(R81-Q81)/R81)</f>
        <v/>
      </c>
    </row>
    <row r="82">
      <c r="A82" t="inlineStr">
        <is>
          <t>A6553</t>
        </is>
      </c>
      <c r="B82" t="inlineStr">
        <is>
          <t>S04</t>
        </is>
      </c>
      <c r="C82" t="inlineStr">
        <is>
          <t>GRADIENT COMPRESSION STOCKING, BELOW KNEE, 30-40 MMHG, CUSTOM, EACH</t>
        </is>
      </c>
      <c r="D82" t="n">
        <v>3</v>
      </c>
      <c r="E82" s="2" t="n">
        <v>220.43</v>
      </c>
      <c r="F82" t="inlineStr"/>
      <c r="G82" s="2" t="inlineStr"/>
      <c r="H82" t="inlineStr"/>
      <c r="I82" s="2" t="inlineStr"/>
      <c r="J82" t="inlineStr"/>
      <c r="K82" s="2" t="inlineStr"/>
      <c r="L82" t="inlineStr"/>
      <c r="M82" s="2" t="inlineStr"/>
      <c r="N82" s="2" t="inlineStr"/>
      <c r="O82" s="2">
        <f>IF(P82=J82,I82,IF(P82=L82,K82,M82))</f>
        <v/>
      </c>
      <c r="P82" s="3">
        <f>MIN(J82,L82,N82)</f>
        <v/>
      </c>
      <c r="Q82">
        <f>G82*P82</f>
        <v/>
      </c>
      <c r="R82">
        <f>IF(ISBLANK(H82),0,G82*H82)</f>
        <v/>
      </c>
      <c r="S82">
        <f>IF(R82=0,0,(R82-Q82)/R82)</f>
        <v/>
      </c>
    </row>
    <row r="83">
      <c r="A83" t="inlineStr">
        <is>
          <t>K0041</t>
        </is>
      </c>
      <c r="B83" t="inlineStr">
        <is>
          <t>M06A</t>
        </is>
      </c>
      <c r="C83" t="inlineStr">
        <is>
          <t>LARGE SIZE FOOTPLATE, EACH</t>
        </is>
      </c>
      <c r="D83" t="n">
        <v>3</v>
      </c>
      <c r="E83" s="2" t="n">
        <v>58.92</v>
      </c>
      <c r="F83" t="inlineStr"/>
      <c r="G83" s="2" t="inlineStr"/>
      <c r="H83" t="inlineStr"/>
      <c r="I83" s="2" t="inlineStr"/>
      <c r="J83" t="inlineStr"/>
      <c r="K83" s="2" t="inlineStr"/>
      <c r="L83" t="inlineStr"/>
      <c r="M83" s="2" t="inlineStr"/>
      <c r="N83" s="2" t="inlineStr"/>
      <c r="O83" s="2">
        <f>IF(P83=J83,I83,IF(P83=L83,K83,M83))</f>
        <v/>
      </c>
      <c r="P83" s="3">
        <f>MIN(J83,L83,N83)</f>
        <v/>
      </c>
      <c r="Q83">
        <f>G83*P83</f>
        <v/>
      </c>
      <c r="R83">
        <f>IF(ISBLANK(H83),0,G83*H83)</f>
        <v/>
      </c>
      <c r="S83">
        <f>IF(R83=0,0,(R83-Q83)/R83)</f>
        <v/>
      </c>
    </row>
    <row r="84">
      <c r="A84" t="inlineStr">
        <is>
          <t>K0040</t>
        </is>
      </c>
      <c r="B84" t="inlineStr">
        <is>
          <t>M06A</t>
        </is>
      </c>
      <c r="C84" t="inlineStr">
        <is>
          <t>ADJUSTABLE ANGLE FOOTPLATE, EACH</t>
        </is>
      </c>
      <c r="D84" t="n">
        <v>3</v>
      </c>
      <c r="E84" s="2" t="n">
        <v>56.02</v>
      </c>
      <c r="F84" t="inlineStr"/>
      <c r="G84" s="2" t="inlineStr"/>
      <c r="H84" t="inlineStr"/>
      <c r="I84" s="2" t="inlineStr"/>
      <c r="J84" t="inlineStr"/>
      <c r="K84" s="2" t="inlineStr"/>
      <c r="L84" t="inlineStr"/>
      <c r="M84" s="2" t="inlineStr"/>
      <c r="N84" s="2" t="inlineStr"/>
      <c r="O84" s="2">
        <f>IF(P84=J84,I84,IF(P84=L84,K84,M84))</f>
        <v/>
      </c>
      <c r="P84" s="3">
        <f>MIN(J84,L84,N84)</f>
        <v/>
      </c>
      <c r="Q84">
        <f>G84*P84</f>
        <v/>
      </c>
      <c r="R84">
        <f>IF(ISBLANK(H84),0,G84*H84)</f>
        <v/>
      </c>
      <c r="S84">
        <f>IF(R84=0,0,(R84-Q84)/R84)</f>
        <v/>
      </c>
    </row>
    <row r="85">
      <c r="A85" t="inlineStr">
        <is>
          <t>K0038</t>
        </is>
      </c>
      <c r="B85" t="inlineStr">
        <is>
          <t>M06A</t>
        </is>
      </c>
      <c r="C85" t="inlineStr">
        <is>
          <t>LEG STRAP, EACH</t>
        </is>
      </c>
      <c r="D85" t="n">
        <v>3</v>
      </c>
      <c r="E85" s="2" t="n">
        <v>28.71</v>
      </c>
      <c r="F85" t="inlineStr"/>
      <c r="G85" s="2" t="inlineStr"/>
      <c r="H85" t="inlineStr"/>
      <c r="I85" s="2" t="inlineStr"/>
      <c r="J85" t="inlineStr"/>
      <c r="K85" s="2" t="inlineStr"/>
      <c r="L85" t="inlineStr"/>
      <c r="M85" s="2" t="inlineStr"/>
      <c r="N85" s="2" t="inlineStr"/>
      <c r="O85" s="2">
        <f>IF(P85=J85,I85,IF(P85=L85,K85,M85))</f>
        <v/>
      </c>
      <c r="P85" s="3">
        <f>MIN(J85,L85,N85)</f>
        <v/>
      </c>
      <c r="Q85">
        <f>G85*P85</f>
        <v/>
      </c>
      <c r="R85">
        <f>IF(ISBLANK(H85),0,G85*H85)</f>
        <v/>
      </c>
      <c r="S85">
        <f>IF(R85=0,0,(R85-Q85)/R85)</f>
        <v/>
      </c>
    </row>
    <row r="86">
      <c r="A86" t="inlineStr">
        <is>
          <t>K0071</t>
        </is>
      </c>
      <c r="B86" t="inlineStr">
        <is>
          <t>M06A</t>
        </is>
      </c>
      <c r="C86" t="inlineStr">
        <is>
          <t>FRONT CASTER ASSEMBLY, COMPLETE, WITH PNEUMATIC TIRE, REPLACEMENT ONLY, EACH</t>
        </is>
      </c>
      <c r="D86" t="n">
        <v>3</v>
      </c>
      <c r="E86" s="2" t="n">
        <v>117.41</v>
      </c>
      <c r="F86" t="inlineStr"/>
      <c r="G86" s="2" t="inlineStr"/>
      <c r="H86" t="inlineStr"/>
      <c r="I86" s="2" t="inlineStr"/>
      <c r="J86" t="inlineStr"/>
      <c r="K86" s="2" t="inlineStr"/>
      <c r="L86" t="inlineStr"/>
      <c r="M86" s="2" t="inlineStr"/>
      <c r="N86" s="2" t="inlineStr"/>
      <c r="O86" s="2">
        <f>IF(P86=J86,I86,IF(P86=L86,K86,M86))</f>
        <v/>
      </c>
      <c r="P86" s="3">
        <f>MIN(J86,L86,N86)</f>
        <v/>
      </c>
      <c r="Q86">
        <f>G86*P86</f>
        <v/>
      </c>
      <c r="R86">
        <f>IF(ISBLANK(H86),0,G86*H86)</f>
        <v/>
      </c>
      <c r="S86">
        <f>IF(R86=0,0,(R86-Q86)/R86)</f>
        <v/>
      </c>
    </row>
    <row r="87">
      <c r="A87" t="inlineStr">
        <is>
          <t>A6529</t>
        </is>
      </c>
      <c r="B87" t="inlineStr">
        <is>
          <t>S04</t>
        </is>
      </c>
      <c r="C87" t="inlineStr">
        <is>
          <t>GRADIENT COMPRESSION GARMENT, BRA, FOR NIGHTTIME USE, CUSTOM, EACH</t>
        </is>
      </c>
      <c r="D87" t="n">
        <v>3</v>
      </c>
      <c r="E87" s="2" t="n">
        <v>1025.36</v>
      </c>
      <c r="F87" t="inlineStr"/>
      <c r="G87" s="2" t="inlineStr"/>
      <c r="H87" t="inlineStr"/>
      <c r="I87" s="2" t="inlineStr"/>
      <c r="J87" t="inlineStr"/>
      <c r="K87" s="2" t="inlineStr"/>
      <c r="L87" t="inlineStr"/>
      <c r="M87" s="2" t="inlineStr"/>
      <c r="N87" s="2" t="inlineStr"/>
      <c r="O87" s="2">
        <f>IF(P87=J87,I87,IF(P87=L87,K87,M87))</f>
        <v/>
      </c>
      <c r="P87" s="3">
        <f>MIN(J87,L87,N87)</f>
        <v/>
      </c>
      <c r="Q87">
        <f>G87*P87</f>
        <v/>
      </c>
      <c r="R87">
        <f>IF(ISBLANK(H87),0,G87*H87)</f>
        <v/>
      </c>
      <c r="S87">
        <f>IF(R87=0,0,(R87-Q87)/R87)</f>
        <v/>
      </c>
    </row>
    <row r="88">
      <c r="A88" t="inlineStr">
        <is>
          <t>A6530</t>
        </is>
      </c>
      <c r="B88" t="inlineStr">
        <is>
          <t>S04</t>
        </is>
      </c>
      <c r="C88" t="inlineStr">
        <is>
          <t>GRADIENT COMPRESSION STOCKING, BELOW KNEE, 18-30 MMHG, EACH</t>
        </is>
      </c>
      <c r="D88" t="n">
        <v>3</v>
      </c>
      <c r="E88" s="2" t="n">
        <v>38.04</v>
      </c>
      <c r="F88" t="inlineStr"/>
      <c r="G88" s="2" t="inlineStr"/>
      <c r="H88" t="inlineStr"/>
      <c r="I88" s="2" t="inlineStr"/>
      <c r="J88" t="inlineStr"/>
      <c r="K88" s="2" t="inlineStr"/>
      <c r="L88" t="inlineStr"/>
      <c r="M88" s="2" t="inlineStr"/>
      <c r="N88" s="2" t="inlineStr"/>
      <c r="O88" s="2">
        <f>IF(P88=J88,I88,IF(P88=L88,K88,M88))</f>
        <v/>
      </c>
      <c r="P88" s="3">
        <f>MIN(J88,L88,N88)</f>
        <v/>
      </c>
      <c r="Q88">
        <f>G88*P88</f>
        <v/>
      </c>
      <c r="R88">
        <f>IF(ISBLANK(H88),0,G88*H88)</f>
        <v/>
      </c>
      <c r="S88">
        <f>IF(R88=0,0,(R88-Q88)/R88)</f>
        <v/>
      </c>
    </row>
    <row r="89">
      <c r="A89" t="inlineStr">
        <is>
          <t>A6537</t>
        </is>
      </c>
      <c r="B89" t="inlineStr">
        <is>
          <t>S04</t>
        </is>
      </c>
      <c r="C89" t="inlineStr">
        <is>
          <t>GRADIENT COMPRESSION STOCKING, FULL LENGTH/CHAP STYLE, 30-40 MMHG, EACH</t>
        </is>
      </c>
      <c r="D89" t="n">
        <v>3</v>
      </c>
      <c r="E89" s="2" t="n">
        <v>85.37</v>
      </c>
      <c r="F89" t="inlineStr"/>
      <c r="G89" s="2" t="inlineStr"/>
      <c r="H89" t="inlineStr"/>
      <c r="I89" s="2" t="inlineStr"/>
      <c r="J89" t="inlineStr"/>
      <c r="K89" s="2" t="inlineStr"/>
      <c r="L89" t="inlineStr"/>
      <c r="M89" s="2" t="inlineStr"/>
      <c r="N89" s="2" t="inlineStr"/>
      <c r="O89" s="2">
        <f>IF(P89=J89,I89,IF(P89=L89,K89,M89))</f>
        <v/>
      </c>
      <c r="P89" s="3">
        <f>MIN(J89,L89,N89)</f>
        <v/>
      </c>
      <c r="Q89">
        <f>G89*P89</f>
        <v/>
      </c>
      <c r="R89">
        <f>IF(ISBLANK(H89),0,G89*H89)</f>
        <v/>
      </c>
      <c r="S89">
        <f>IF(R89=0,0,(R89-Q89)/R89)</f>
        <v/>
      </c>
    </row>
    <row r="90">
      <c r="A90" t="inlineStr">
        <is>
          <t>A6538</t>
        </is>
      </c>
      <c r="B90" t="inlineStr">
        <is>
          <t>S04</t>
        </is>
      </c>
      <c r="C90" t="inlineStr">
        <is>
          <t>GRADIENT COMPRESSION STOCKING, FULL LENGTH/CHAP STYLE, 40 MMHG OR GREATER, EACH</t>
        </is>
      </c>
      <c r="D90" t="n">
        <v>3</v>
      </c>
      <c r="E90" s="2" t="n">
        <v>99.95</v>
      </c>
      <c r="F90" t="inlineStr"/>
      <c r="G90" s="2" t="inlineStr"/>
      <c r="H90" t="inlineStr"/>
      <c r="I90" s="2" t="inlineStr"/>
      <c r="J90" t="inlineStr"/>
      <c r="K90" s="2" t="inlineStr"/>
      <c r="L90" t="inlineStr"/>
      <c r="M90" s="2" t="inlineStr"/>
      <c r="N90" s="2" t="inlineStr"/>
      <c r="O90" s="2">
        <f>IF(P90=J90,I90,IF(P90=L90,K90,M90))</f>
        <v/>
      </c>
      <c r="P90" s="3">
        <f>MIN(J90,L90,N90)</f>
        <v/>
      </c>
      <c r="Q90">
        <f>G90*P90</f>
        <v/>
      </c>
      <c r="R90">
        <f>IF(ISBLANK(H90),0,G90*H90)</f>
        <v/>
      </c>
      <c r="S90">
        <f>IF(R90=0,0,(R90-Q90)/R90)</f>
        <v/>
      </c>
    </row>
    <row r="91">
      <c r="A91" t="inlineStr">
        <is>
          <t>A6522</t>
        </is>
      </c>
      <c r="B91" t="inlineStr">
        <is>
          <t>S04</t>
        </is>
      </c>
      <c r="C91" t="inlineStr">
        <is>
          <t>GRADIENT COMPRESSION GARMENT, ARM, PADDED, FOR NIGHTTIME USE, EACH</t>
        </is>
      </c>
      <c r="D91" t="n">
        <v>3</v>
      </c>
      <c r="E91" s="2" t="n">
        <v>299.18</v>
      </c>
      <c r="F91" t="inlineStr"/>
      <c r="G91" s="2" t="inlineStr"/>
      <c r="H91" t="inlineStr"/>
      <c r="I91" s="2" t="inlineStr"/>
      <c r="J91" t="inlineStr"/>
      <c r="K91" s="2" t="inlineStr"/>
      <c r="L91" t="inlineStr"/>
      <c r="M91" s="2" t="inlineStr"/>
      <c r="N91" s="2" t="inlineStr"/>
      <c r="O91" s="2">
        <f>IF(P91=J91,I91,IF(P91=L91,K91,M91))</f>
        <v/>
      </c>
      <c r="P91" s="3">
        <f>MIN(J91,L91,N91)</f>
        <v/>
      </c>
      <c r="Q91">
        <f>G91*P91</f>
        <v/>
      </c>
      <c r="R91">
        <f>IF(ISBLANK(H91),0,G91*H91)</f>
        <v/>
      </c>
      <c r="S91">
        <f>IF(R91=0,0,(R91-Q91)/R91)</f>
        <v/>
      </c>
    </row>
    <row r="92">
      <c r="A92" t="inlineStr">
        <is>
          <t>A6521</t>
        </is>
      </c>
      <c r="B92" t="inlineStr">
        <is>
          <t>S04</t>
        </is>
      </c>
      <c r="C92" t="inlineStr">
        <is>
          <t>GRADIENT COMPRESSION GARMENT, GLOVE, PADDED, FOR NIGHTTIME USE, CUSTOM, EACH</t>
        </is>
      </c>
      <c r="D92" t="n">
        <v>3</v>
      </c>
      <c r="E92" s="2" t="n">
        <v>488.56</v>
      </c>
      <c r="F92" t="inlineStr"/>
      <c r="G92" s="2" t="inlineStr"/>
      <c r="H92" t="inlineStr"/>
      <c r="I92" s="2" t="inlineStr"/>
      <c r="J92" t="inlineStr"/>
      <c r="K92" s="2" t="inlineStr"/>
      <c r="L92" t="inlineStr"/>
      <c r="M92" s="2" t="inlineStr"/>
      <c r="N92" s="2" t="inlineStr"/>
      <c r="O92" s="2">
        <f>IF(P92=J92,I92,IF(P92=L92,K92,M92))</f>
        <v/>
      </c>
      <c r="P92" s="3">
        <f>MIN(J92,L92,N92)</f>
        <v/>
      </c>
      <c r="Q92">
        <f>G92*P92</f>
        <v/>
      </c>
      <c r="R92">
        <f>IF(ISBLANK(H92),0,G92*H92)</f>
        <v/>
      </c>
      <c r="S92">
        <f>IF(R92=0,0,(R92-Q92)/R92)</f>
        <v/>
      </c>
    </row>
    <row r="93">
      <c r="A93" t="inlineStr">
        <is>
          <t>A6520</t>
        </is>
      </c>
      <c r="B93" t="inlineStr">
        <is>
          <t>S04</t>
        </is>
      </c>
      <c r="C93" t="inlineStr">
        <is>
          <t>GRADIENT COMPRESSION GARMENT, GLOVE, PADDED, FOR NIGHTTIME USE, EACH</t>
        </is>
      </c>
      <c r="D93" t="n">
        <v>3</v>
      </c>
      <c r="E93" s="2" t="n">
        <v>123.13</v>
      </c>
      <c r="F93" t="inlineStr"/>
      <c r="G93" s="2" t="inlineStr"/>
      <c r="H93" t="inlineStr"/>
      <c r="I93" s="2" t="inlineStr"/>
      <c r="J93" t="inlineStr"/>
      <c r="K93" s="2" t="inlineStr"/>
      <c r="L93" t="inlineStr"/>
      <c r="M93" s="2" t="inlineStr"/>
      <c r="N93" s="2" t="inlineStr"/>
      <c r="O93" s="2">
        <f>IF(P93=J93,I93,IF(P93=L93,K93,M93))</f>
        <v/>
      </c>
      <c r="P93" s="3">
        <f>MIN(J93,L93,N93)</f>
        <v/>
      </c>
      <c r="Q93">
        <f>G93*P93</f>
        <v/>
      </c>
      <c r="R93">
        <f>IF(ISBLANK(H93),0,G93*H93)</f>
        <v/>
      </c>
      <c r="S93">
        <f>IF(R93=0,0,(R93-Q93)/R93)</f>
        <v/>
      </c>
    </row>
    <row r="94">
      <c r="A94" t="inlineStr">
        <is>
          <t>A6535</t>
        </is>
      </c>
      <c r="B94" t="inlineStr">
        <is>
          <t>S04</t>
        </is>
      </c>
      <c r="C94" t="inlineStr">
        <is>
          <t>GRADIENT COMPRESSION STOCKING, THIGH LENGTH, 40 MMHG OR GREATER, EACH</t>
        </is>
      </c>
      <c r="D94" t="n">
        <v>3</v>
      </c>
      <c r="E94" s="2" t="n">
        <v>70.23</v>
      </c>
      <c r="F94" t="inlineStr"/>
      <c r="G94" s="2" t="inlineStr"/>
      <c r="H94" t="inlineStr"/>
      <c r="I94" s="2" t="inlineStr"/>
      <c r="J94" t="inlineStr"/>
      <c r="K94" s="2" t="inlineStr"/>
      <c r="L94" t="inlineStr"/>
      <c r="M94" s="2" t="inlineStr"/>
      <c r="N94" s="2" t="inlineStr"/>
      <c r="O94" s="2">
        <f>IF(P94=J94,I94,IF(P94=L94,K94,M94))</f>
        <v/>
      </c>
      <c r="P94" s="3">
        <f>MIN(J94,L94,N94)</f>
        <v/>
      </c>
      <c r="Q94">
        <f>G94*P94</f>
        <v/>
      </c>
      <c r="R94">
        <f>IF(ISBLANK(H94),0,G94*H94)</f>
        <v/>
      </c>
      <c r="S94">
        <f>IF(R94=0,0,(R94-Q94)/R94)</f>
        <v/>
      </c>
    </row>
    <row r="95">
      <c r="A95" t="inlineStr">
        <is>
          <t>A6536</t>
        </is>
      </c>
      <c r="B95" t="inlineStr">
        <is>
          <t>S04</t>
        </is>
      </c>
      <c r="C95" t="inlineStr">
        <is>
          <t>GRADIENT COMPRESSION STOCKING, FULL LENGTH/CHAP STYLE, 18-30 MMHG, EACH</t>
        </is>
      </c>
      <c r="D95" t="n">
        <v>3</v>
      </c>
      <c r="E95" s="2" t="n">
        <v>72.01000000000001</v>
      </c>
      <c r="F95" t="inlineStr"/>
      <c r="G95" s="2" t="inlineStr"/>
      <c r="H95" t="inlineStr"/>
      <c r="I95" s="2" t="inlineStr"/>
      <c r="J95" t="inlineStr"/>
      <c r="K95" s="2" t="inlineStr"/>
      <c r="L95" t="inlineStr"/>
      <c r="M95" s="2" t="inlineStr"/>
      <c r="N95" s="2" t="inlineStr"/>
      <c r="O95" s="2">
        <f>IF(P95=J95,I95,IF(P95=L95,K95,M95))</f>
        <v/>
      </c>
      <c r="P95" s="3">
        <f>MIN(J95,L95,N95)</f>
        <v/>
      </c>
      <c r="Q95">
        <f>G95*P95</f>
        <v/>
      </c>
      <c r="R95">
        <f>IF(ISBLANK(H95),0,G95*H95)</f>
        <v/>
      </c>
      <c r="S95">
        <f>IF(R95=0,0,(R95-Q95)/R95)</f>
        <v/>
      </c>
    </row>
    <row r="96">
      <c r="A96" t="inlineStr">
        <is>
          <t>A6545</t>
        </is>
      </c>
      <c r="B96" t="inlineStr">
        <is>
          <t>S01</t>
        </is>
      </c>
      <c r="C96" t="inlineStr">
        <is>
          <t>GRADIENT COMPRESSION WRAP, NON-ELASTIC, BELOW KNEE, 30-50 MMHG, USED AS A SURGICAL DRESSING, EACH</t>
        </is>
      </c>
      <c r="D96" t="n">
        <v>3</v>
      </c>
      <c r="E96" s="2" t="n">
        <v>119.03</v>
      </c>
      <c r="F96" t="inlineStr"/>
      <c r="G96" s="2" t="inlineStr"/>
      <c r="H96" t="inlineStr"/>
      <c r="I96" s="2" t="inlineStr"/>
      <c r="J96" t="inlineStr"/>
      <c r="K96" s="2" t="inlineStr"/>
      <c r="L96" t="inlineStr"/>
      <c r="M96" s="2" t="inlineStr"/>
      <c r="N96" s="2" t="inlineStr"/>
      <c r="O96" s="2">
        <f>IF(P96=J96,I96,IF(P96=L96,K96,M96))</f>
        <v/>
      </c>
      <c r="P96" s="3">
        <f>MIN(J96,L96,N96)</f>
        <v/>
      </c>
      <c r="Q96">
        <f>G96*P96</f>
        <v/>
      </c>
      <c r="R96">
        <f>IF(ISBLANK(H96),0,G96*H96)</f>
        <v/>
      </c>
      <c r="S96">
        <f>IF(R96=0,0,(R96-Q96)/R96)</f>
        <v/>
      </c>
    </row>
    <row r="97">
      <c r="A97" t="inlineStr">
        <is>
          <t>A4450</t>
        </is>
      </c>
      <c r="B97" t="inlineStr">
        <is>
          <t>S01</t>
        </is>
      </c>
      <c r="C97" t="inlineStr">
        <is>
          <t>TAPE, NON-WATERPROOF, PER 18 SQUARE INCHES</t>
        </is>
      </c>
      <c r="D97" t="n">
        <v>3</v>
      </c>
      <c r="E97" s="2" t="n">
        <v>0.1</v>
      </c>
      <c r="F97" t="inlineStr"/>
      <c r="G97" s="2" t="inlineStr"/>
      <c r="H97" t="inlineStr"/>
      <c r="I97" s="2" t="inlineStr"/>
      <c r="J97" t="inlineStr"/>
      <c r="K97" s="2" t="inlineStr"/>
      <c r="L97" t="inlineStr"/>
      <c r="M97" s="2" t="inlineStr"/>
      <c r="N97" s="2" t="inlineStr"/>
      <c r="O97" s="2">
        <f>IF(P97=J97,I97,IF(P97=L97,K97,M97))</f>
        <v/>
      </c>
      <c r="P97" s="3">
        <f>MIN(J97,L97,N97)</f>
        <v/>
      </c>
      <c r="Q97">
        <f>G97*P97</f>
        <v/>
      </c>
      <c r="R97">
        <f>IF(ISBLANK(H97),0,G97*H97)</f>
        <v/>
      </c>
      <c r="S97">
        <f>IF(R97=0,0,(R97-Q97)/R97)</f>
        <v/>
      </c>
    </row>
    <row r="98">
      <c r="A98" t="inlineStr">
        <is>
          <t>A6023</t>
        </is>
      </c>
      <c r="B98" t="inlineStr">
        <is>
          <t>S01</t>
        </is>
      </c>
      <c r="C98" t="inlineStr">
        <is>
          <t>COLLAGEN DRESSING, STERILE, SIZE MORE THAN 48 SQ. IN., EACH</t>
        </is>
      </c>
      <c r="D98" t="n">
        <v>3</v>
      </c>
      <c r="E98" s="2" t="n">
        <v>265.9</v>
      </c>
      <c r="F98" t="inlineStr"/>
      <c r="G98" s="2" t="inlineStr"/>
      <c r="H98" t="inlineStr"/>
      <c r="I98" s="2" t="inlineStr"/>
      <c r="J98" t="inlineStr"/>
      <c r="K98" s="2" t="inlineStr"/>
      <c r="L98" t="inlineStr"/>
      <c r="M98" s="2" t="inlineStr"/>
      <c r="N98" s="2" t="inlineStr"/>
      <c r="O98" s="2">
        <f>IF(P98=J98,I98,IF(P98=L98,K98,M98))</f>
        <v/>
      </c>
      <c r="P98" s="3">
        <f>MIN(J98,L98,N98)</f>
        <v/>
      </c>
      <c r="Q98">
        <f>G98*P98</f>
        <v/>
      </c>
      <c r="R98">
        <f>IF(ISBLANK(H98),0,G98*H98)</f>
        <v/>
      </c>
      <c r="S98">
        <f>IF(R98=0,0,(R98-Q98)/R98)</f>
        <v/>
      </c>
    </row>
    <row r="99">
      <c r="A99" t="inlineStr">
        <is>
          <t>A6229</t>
        </is>
      </c>
      <c r="B99" t="inlineStr">
        <is>
          <t>S01</t>
        </is>
      </c>
      <c r="C99" t="inlineStr">
        <is>
          <t>GAUZE, IMPREGNATED, WATER OR NORMAL SALINE, STERILE, PAD SIZE MORE THAN 16 SQ. IN. BUT LESS THAN OR EQUAL TO 48 SQ. IN., WITHOUT ADHESIVE BORDER, EACH DRESSING</t>
        </is>
      </c>
      <c r="D99" t="n">
        <v>3</v>
      </c>
      <c r="E99" s="2" t="n">
        <v>5.03</v>
      </c>
      <c r="F99" t="inlineStr"/>
      <c r="G99" s="2" t="inlineStr"/>
      <c r="H99" t="inlineStr"/>
      <c r="I99" s="2" t="inlineStr"/>
      <c r="J99" t="inlineStr"/>
      <c r="K99" s="2" t="inlineStr"/>
      <c r="L99" t="inlineStr"/>
      <c r="M99" s="2" t="inlineStr"/>
      <c r="N99" s="2" t="inlineStr"/>
      <c r="O99" s="2">
        <f>IF(P99=J99,I99,IF(P99=L99,K99,M99))</f>
        <v/>
      </c>
      <c r="P99" s="3">
        <f>MIN(J99,L99,N99)</f>
        <v/>
      </c>
      <c r="Q99">
        <f>G99*P99</f>
        <v/>
      </c>
      <c r="R99">
        <f>IF(ISBLANK(H99),0,G99*H99)</f>
        <v/>
      </c>
      <c r="S99">
        <f>IF(R99=0,0,(R99-Q99)/R99)</f>
        <v/>
      </c>
    </row>
    <row r="100">
      <c r="A100" t="inlineStr">
        <is>
          <t>A6224</t>
        </is>
      </c>
      <c r="B100" t="inlineStr">
        <is>
          <t>S01</t>
        </is>
      </c>
      <c r="C100" t="inlineStr">
        <is>
          <t>GAUZE, IMPREGNATED WITH OTHER THAN WATER, NORMAL SALINE, OR HYDROGEL, STERILE, PAD SIZE MORE THAN 48 SQ. IN., WITHOUT ADHESIVE BORDER, EACH DRESSING</t>
        </is>
      </c>
      <c r="D100" t="n">
        <v>3</v>
      </c>
      <c r="E100" s="2" t="n">
        <v>5.03</v>
      </c>
      <c r="F100" t="inlineStr"/>
      <c r="G100" s="2" t="inlineStr"/>
      <c r="H100" t="inlineStr"/>
      <c r="I100" s="2" t="inlineStr"/>
      <c r="J100" t="inlineStr"/>
      <c r="K100" s="2" t="inlineStr"/>
      <c r="L100" t="inlineStr"/>
      <c r="M100" s="2" t="inlineStr"/>
      <c r="N100" s="2" t="inlineStr"/>
      <c r="O100" s="2">
        <f>IF(P100=J100,I100,IF(P100=L100,K100,M100))</f>
        <v/>
      </c>
      <c r="P100" s="3">
        <f>MIN(J100,L100,N100)</f>
        <v/>
      </c>
      <c r="Q100">
        <f>G100*P100</f>
        <v/>
      </c>
      <c r="R100">
        <f>IF(ISBLANK(H100),0,G100*H100)</f>
        <v/>
      </c>
      <c r="S100">
        <f>IF(R100=0,0,(R100-Q100)/R100)</f>
        <v/>
      </c>
    </row>
    <row r="101">
      <c r="A101" t="inlineStr">
        <is>
          <t>A6223</t>
        </is>
      </c>
      <c r="B101" t="inlineStr">
        <is>
          <t>S01</t>
        </is>
      </c>
      <c r="C101" t="inlineStr">
        <is>
          <t>GAUZE, IMPREGNATED WITH OTHER THAN WATER, NORMAL SALINE, OR HYDROGEL, STERILE, PAD SIZE MORE THAN 16 SQ. IN., BUT LESS THAN OR EQUAL TO 48 SQ. IN., WITHOUT ADHESIVE BORDER, EACH DRESSING</t>
        </is>
      </c>
      <c r="D101" t="n">
        <v>3</v>
      </c>
      <c r="E101" s="2" t="n">
        <v>3.39</v>
      </c>
      <c r="F101" t="inlineStr"/>
      <c r="G101" s="2" t="inlineStr"/>
      <c r="H101" t="inlineStr"/>
      <c r="I101" s="2" t="inlineStr"/>
      <c r="J101" t="inlineStr"/>
      <c r="K101" s="2" t="inlineStr"/>
      <c r="L101" t="inlineStr"/>
      <c r="M101" s="2" t="inlineStr"/>
      <c r="N101" s="2" t="inlineStr"/>
      <c r="O101" s="2">
        <f>IF(P101=J101,I101,IF(P101=L101,K101,M101))</f>
        <v/>
      </c>
      <c r="P101" s="3">
        <f>MIN(J101,L101,N101)</f>
        <v/>
      </c>
      <c r="Q101">
        <f>G101*P101</f>
        <v/>
      </c>
      <c r="R101">
        <f>IF(ISBLANK(H101),0,G101*H101)</f>
        <v/>
      </c>
      <c r="S101">
        <f>IF(R101=0,0,(R101-Q101)/R101)</f>
        <v/>
      </c>
    </row>
    <row r="102">
      <c r="A102" t="inlineStr">
        <is>
          <t>A6222</t>
        </is>
      </c>
      <c r="B102" t="inlineStr">
        <is>
          <t>S01</t>
        </is>
      </c>
      <c r="C102" t="inlineStr">
        <is>
          <t>GAUZE, IMPREGNATED WITH OTHER THAN WATER, NORMAL SALINE, OR HYDROGEL, STERILE, PAD SIZE 16 SQ. IN. OR LESS, WITHOUT ADHESIVE BORDER, EACH DRESSING</t>
        </is>
      </c>
      <c r="D102" t="n">
        <v>3</v>
      </c>
      <c r="E102" s="2" t="n">
        <v>2.98</v>
      </c>
      <c r="F102" t="inlineStr"/>
      <c r="G102" s="2" t="inlineStr"/>
      <c r="H102" t="inlineStr"/>
      <c r="I102" s="2" t="inlineStr"/>
      <c r="J102" t="inlineStr"/>
      <c r="K102" s="2" t="inlineStr"/>
      <c r="L102" t="inlineStr"/>
      <c r="M102" s="2" t="inlineStr"/>
      <c r="N102" s="2" t="inlineStr"/>
      <c r="O102" s="2">
        <f>IF(P102=J102,I102,IF(P102=L102,K102,M102))</f>
        <v/>
      </c>
      <c r="P102" s="3">
        <f>MIN(J102,L102,N102)</f>
        <v/>
      </c>
      <c r="Q102">
        <f>G102*P102</f>
        <v/>
      </c>
      <c r="R102">
        <f>IF(ISBLANK(H102),0,G102*H102)</f>
        <v/>
      </c>
      <c r="S102">
        <f>IF(R102=0,0,(R102-Q102)/R102)</f>
        <v/>
      </c>
    </row>
    <row r="103">
      <c r="A103" t="inlineStr">
        <is>
          <t>A6220</t>
        </is>
      </c>
      <c r="B103" t="inlineStr">
        <is>
          <t>S01</t>
        </is>
      </c>
      <c r="C103" t="inlineStr">
        <is>
          <t>GAUZE, NON-IMPREGNATED, STERILE, PAD SIZE MORE THAN 16 SQ. IN. BUT LESS THAN OR EQUAL TO 48 SQ. IN., WITH ANY SIZE ADHESIVE BORDER, EACH DRESSING</t>
        </is>
      </c>
      <c r="D103" t="n">
        <v>3</v>
      </c>
      <c r="E103" s="2" t="n">
        <v>3.62</v>
      </c>
      <c r="F103" t="inlineStr"/>
      <c r="G103" s="2" t="inlineStr"/>
      <c r="H103" t="inlineStr"/>
      <c r="I103" s="2" t="inlineStr"/>
      <c r="J103" t="inlineStr"/>
      <c r="K103" s="2" t="inlineStr"/>
      <c r="L103" t="inlineStr"/>
      <c r="M103" s="2" t="inlineStr"/>
      <c r="N103" s="2" t="inlineStr"/>
      <c r="O103" s="2">
        <f>IF(P103=J103,I103,IF(P103=L103,K103,M103))</f>
        <v/>
      </c>
      <c r="P103" s="3">
        <f>MIN(J103,L103,N103)</f>
        <v/>
      </c>
      <c r="Q103">
        <f>G103*P103</f>
        <v/>
      </c>
      <c r="R103">
        <f>IF(ISBLANK(H103),0,G103*H103)</f>
        <v/>
      </c>
      <c r="S103">
        <f>IF(R103=0,0,(R103-Q103)/R103)</f>
        <v/>
      </c>
    </row>
    <row r="104">
      <c r="A104" t="inlineStr">
        <is>
          <t>A6238</t>
        </is>
      </c>
      <c r="B104" t="inlineStr">
        <is>
          <t>S01</t>
        </is>
      </c>
      <c r="C104" t="inlineStr">
        <is>
          <t>HYDROCOLLOID DRESSING, WOUND COVER, STERILE, PAD SIZE MORE THAN 16 SQ. IN. BUT LESS THAN OR EQUAL TO 48 SQ. IN., WITH ANY SIZE ADHESIVE BORDER, EACH DRESSING</t>
        </is>
      </c>
      <c r="D104" t="n">
        <v>3</v>
      </c>
      <c r="E104" s="2" t="n">
        <v>31.86</v>
      </c>
      <c r="F104" t="inlineStr"/>
      <c r="G104" s="2" t="inlineStr"/>
      <c r="H104" t="inlineStr"/>
      <c r="I104" s="2" t="inlineStr"/>
      <c r="J104" t="inlineStr"/>
      <c r="K104" s="2" t="inlineStr"/>
      <c r="L104" t="inlineStr"/>
      <c r="M104" s="2" t="inlineStr"/>
      <c r="N104" s="2" t="inlineStr"/>
      <c r="O104" s="2">
        <f>IF(P104=J104,I104,IF(P104=L104,K104,M104))</f>
        <v/>
      </c>
      <c r="P104" s="3">
        <f>MIN(J104,L104,N104)</f>
        <v/>
      </c>
      <c r="Q104">
        <f>G104*P104</f>
        <v/>
      </c>
      <c r="R104">
        <f>IF(ISBLANK(H104),0,G104*H104)</f>
        <v/>
      </c>
      <c r="S104">
        <f>IF(R104=0,0,(R104-Q104)/R104)</f>
        <v/>
      </c>
    </row>
    <row r="105">
      <c r="A105" t="inlineStr">
        <is>
          <t>A6216</t>
        </is>
      </c>
      <c r="B105" t="inlineStr">
        <is>
          <t>S01</t>
        </is>
      </c>
      <c r="C105" t="inlineStr">
        <is>
          <t>GAUZE, NON-IMPREGNATED, NON-STERILE, PAD SIZE 16 SQ. IN. OR LESS, WITHOUT ADHESIVE BORDER, EACH DRESSING</t>
        </is>
      </c>
      <c r="D105" t="n">
        <v>3</v>
      </c>
      <c r="E105" s="2" t="n">
        <v>0.05</v>
      </c>
      <c r="F105" t="inlineStr"/>
      <c r="G105" s="2" t="inlineStr"/>
      <c r="H105" t="inlineStr"/>
      <c r="I105" s="2" t="inlineStr"/>
      <c r="J105" t="inlineStr"/>
      <c r="K105" s="2" t="inlineStr"/>
      <c r="L105" t="inlineStr"/>
      <c r="M105" s="2" t="inlineStr"/>
      <c r="N105" s="2" t="inlineStr"/>
      <c r="O105" s="2">
        <f>IF(P105=J105,I105,IF(P105=L105,K105,M105))</f>
        <v/>
      </c>
      <c r="P105" s="3">
        <f>MIN(J105,L105,N105)</f>
        <v/>
      </c>
      <c r="Q105">
        <f>G105*P105</f>
        <v/>
      </c>
      <c r="R105">
        <f>IF(ISBLANK(H105),0,G105*H105)</f>
        <v/>
      </c>
      <c r="S105">
        <f>IF(R105=0,0,(R105-Q105)/R105)</f>
        <v/>
      </c>
    </row>
    <row r="106">
      <c r="A106" t="inlineStr">
        <is>
          <t>A6534</t>
        </is>
      </c>
      <c r="B106" t="inlineStr">
        <is>
          <t>S04</t>
        </is>
      </c>
      <c r="C106" t="inlineStr">
        <is>
          <t>GRADIENT COMPRESSION STOCKING, THIGH LENGTH, 30-40 MMHG, EACH</t>
        </is>
      </c>
      <c r="D106" t="n">
        <v>3</v>
      </c>
      <c r="E106" s="2" t="n">
        <v>61</v>
      </c>
      <c r="F106" t="inlineStr"/>
      <c r="G106" s="2" t="inlineStr"/>
      <c r="H106" t="inlineStr"/>
      <c r="I106" s="2" t="inlineStr"/>
      <c r="J106" t="inlineStr"/>
      <c r="K106" s="2" t="inlineStr"/>
      <c r="L106" t="inlineStr"/>
      <c r="M106" s="2" t="inlineStr"/>
      <c r="N106" s="2" t="inlineStr"/>
      <c r="O106" s="2">
        <f>IF(P106=J106,I106,IF(P106=L106,K106,M106))</f>
        <v/>
      </c>
      <c r="P106" s="3">
        <f>MIN(J106,L106,N106)</f>
        <v/>
      </c>
      <c r="Q106">
        <f>G106*P106</f>
        <v/>
      </c>
      <c r="R106">
        <f>IF(ISBLANK(H106),0,G106*H106)</f>
        <v/>
      </c>
      <c r="S106">
        <f>IF(R106=0,0,(R106-Q106)/R106)</f>
        <v/>
      </c>
    </row>
    <row r="107">
      <c r="A107" t="inlineStr">
        <is>
          <t>A6541</t>
        </is>
      </c>
      <c r="B107" t="inlineStr">
        <is>
          <t>S01</t>
        </is>
      </c>
      <c r="C107" t="inlineStr">
        <is>
          <t>GRADIENT COMPRESSION STOCKING, WAIST LENGTH, 40 MMHG OR GREATER, EACH</t>
        </is>
      </c>
      <c r="D107" t="n">
        <v>3</v>
      </c>
      <c r="E107" s="2" t="n">
        <v>134.58</v>
      </c>
      <c r="F107" t="inlineStr"/>
      <c r="G107" s="2" t="inlineStr"/>
      <c r="H107" t="inlineStr"/>
      <c r="I107" s="2" t="inlineStr"/>
      <c r="J107" t="inlineStr"/>
      <c r="K107" s="2" t="inlineStr"/>
      <c r="L107" t="inlineStr"/>
      <c r="M107" s="2" t="inlineStr"/>
      <c r="N107" s="2" t="inlineStr"/>
      <c r="O107" s="2">
        <f>IF(P107=J107,I107,IF(P107=L107,K107,M107))</f>
        <v/>
      </c>
      <c r="P107" s="3">
        <f>MIN(J107,L107,N107)</f>
        <v/>
      </c>
      <c r="Q107">
        <f>G107*P107</f>
        <v/>
      </c>
      <c r="R107">
        <f>IF(ISBLANK(H107),0,G107*H107)</f>
        <v/>
      </c>
      <c r="S107">
        <f>IF(R107=0,0,(R107-Q107)/R107)</f>
        <v/>
      </c>
    </row>
    <row r="108">
      <c r="A108" t="inlineStr">
        <is>
          <t>A6540</t>
        </is>
      </c>
      <c r="B108" t="inlineStr">
        <is>
          <t>S01</t>
        </is>
      </c>
      <c r="C108" t="inlineStr">
        <is>
          <t>GRADIENT COMPRESSION STOCKING, WAIST LENGTH, 30-40 MMHG, EACH</t>
        </is>
      </c>
      <c r="D108" t="n">
        <v>3</v>
      </c>
      <c r="E108" s="2" t="n">
        <v>113.61</v>
      </c>
      <c r="F108" t="inlineStr"/>
      <c r="G108" s="2" t="inlineStr"/>
      <c r="H108" t="inlineStr"/>
      <c r="I108" s="2" t="inlineStr"/>
      <c r="J108" t="inlineStr"/>
      <c r="K108" s="2" t="inlineStr"/>
      <c r="L108" t="inlineStr"/>
      <c r="M108" s="2" t="inlineStr"/>
      <c r="N108" s="2" t="inlineStr"/>
      <c r="O108" s="2">
        <f>IF(P108=J108,I108,IF(P108=L108,K108,M108))</f>
        <v/>
      </c>
      <c r="P108" s="3">
        <f>MIN(J108,L108,N108)</f>
        <v/>
      </c>
      <c r="Q108">
        <f>G108*P108</f>
        <v/>
      </c>
      <c r="R108">
        <f>IF(ISBLANK(H108),0,G108*H108)</f>
        <v/>
      </c>
      <c r="S108">
        <f>IF(R108=0,0,(R108-Q108)/R108)</f>
        <v/>
      </c>
    </row>
    <row r="109">
      <c r="A109" t="inlineStr">
        <is>
          <t>A6525</t>
        </is>
      </c>
      <c r="B109" t="inlineStr">
        <is>
          <t>S04</t>
        </is>
      </c>
      <c r="C109" t="inlineStr">
        <is>
          <t>GRADIENT COMPRESSION GARMENT, LOWER LEG AND FOOT, PADDED, FOR NIGHTTIME USE, CUSTOM, EACH</t>
        </is>
      </c>
      <c r="D109" t="n">
        <v>3</v>
      </c>
      <c r="E109" s="2" t="n">
        <v>753.55</v>
      </c>
      <c r="F109" t="inlineStr"/>
      <c r="G109" s="2" t="inlineStr"/>
      <c r="H109" t="inlineStr"/>
      <c r="I109" s="2" t="inlineStr"/>
      <c r="J109" t="inlineStr"/>
      <c r="K109" s="2" t="inlineStr"/>
      <c r="L109" t="inlineStr"/>
      <c r="M109" s="2" t="inlineStr"/>
      <c r="N109" s="2" t="inlineStr"/>
      <c r="O109" s="2">
        <f>IF(P109=J109,I109,IF(P109=L109,K109,M109))</f>
        <v/>
      </c>
      <c r="P109" s="3">
        <f>MIN(J109,L109,N109)</f>
        <v/>
      </c>
      <c r="Q109">
        <f>G109*P109</f>
        <v/>
      </c>
      <c r="R109">
        <f>IF(ISBLANK(H109),0,G109*H109)</f>
        <v/>
      </c>
      <c r="S109">
        <f>IF(R109=0,0,(R109-Q109)/R109)</f>
        <v/>
      </c>
    </row>
    <row r="110">
      <c r="A110" t="inlineStr">
        <is>
          <t>A6524</t>
        </is>
      </c>
      <c r="B110" t="inlineStr">
        <is>
          <t>S04</t>
        </is>
      </c>
      <c r="C110" t="inlineStr">
        <is>
          <t>GRADIENT COMPRESSION GARMENT, LOWER LEG AND FOOT, PADDED, FOR NIGHTTIME USE, EACH</t>
        </is>
      </c>
      <c r="D110" t="n">
        <v>3</v>
      </c>
      <c r="E110" s="2" t="n">
        <v>373.26</v>
      </c>
      <c r="F110" t="inlineStr"/>
      <c r="G110" s="2" t="inlineStr"/>
      <c r="H110" t="inlineStr"/>
      <c r="I110" s="2" t="inlineStr"/>
      <c r="J110" t="inlineStr"/>
      <c r="K110" s="2" t="inlineStr"/>
      <c r="L110" t="inlineStr"/>
      <c r="M110" s="2" t="inlineStr"/>
      <c r="N110" s="2" t="inlineStr"/>
      <c r="O110" s="2">
        <f>IF(P110=J110,I110,IF(P110=L110,K110,M110))</f>
        <v/>
      </c>
      <c r="P110" s="3">
        <f>MIN(J110,L110,N110)</f>
        <v/>
      </c>
      <c r="Q110">
        <f>G110*P110</f>
        <v/>
      </c>
      <c r="R110">
        <f>IF(ISBLANK(H110),0,G110*H110)</f>
        <v/>
      </c>
      <c r="S110">
        <f>IF(R110=0,0,(R110-Q110)/R110)</f>
        <v/>
      </c>
    </row>
    <row r="111">
      <c r="A111" t="inlineStr">
        <is>
          <t>A6523</t>
        </is>
      </c>
      <c r="B111" t="inlineStr">
        <is>
          <t>S04</t>
        </is>
      </c>
      <c r="C111" t="inlineStr">
        <is>
          <t>GRADIENT COMPRESSION GARMENT, ARM, PADDED, FOR NIGHTTIME USE, CUSTOM, EACH</t>
        </is>
      </c>
      <c r="D111" t="n">
        <v>3</v>
      </c>
      <c r="E111" s="2" t="n">
        <v>709.85</v>
      </c>
      <c r="F111" t="inlineStr"/>
      <c r="G111" s="2" t="inlineStr"/>
      <c r="H111" t="inlineStr"/>
      <c r="I111" s="2" t="inlineStr"/>
      <c r="J111" t="inlineStr"/>
      <c r="K111" s="2" t="inlineStr"/>
      <c r="L111" t="inlineStr"/>
      <c r="M111" s="2" t="inlineStr"/>
      <c r="N111" s="2" t="inlineStr"/>
      <c r="O111" s="2">
        <f>IF(P111=J111,I111,IF(P111=L111,K111,M111))</f>
        <v/>
      </c>
      <c r="P111" s="3">
        <f>MIN(J111,L111,N111)</f>
        <v/>
      </c>
      <c r="Q111">
        <f>G111*P111</f>
        <v/>
      </c>
      <c r="R111">
        <f>IF(ISBLANK(H111),0,G111*H111)</f>
        <v/>
      </c>
      <c r="S111">
        <f>IF(R111=0,0,(R111-Q111)/R111)</f>
        <v/>
      </c>
    </row>
    <row r="112">
      <c r="A112" t="inlineStr">
        <is>
          <t>A6532</t>
        </is>
      </c>
      <c r="B112" t="inlineStr">
        <is>
          <t>S01</t>
        </is>
      </c>
      <c r="C112" t="inlineStr">
        <is>
          <t>GRADIENT COMPRESSION STOCKING, BELOW KNEE, 40-50 MMHG, USED AS A SURGICAL DRESSING, EACH</t>
        </is>
      </c>
      <c r="D112" t="n">
        <v>3</v>
      </c>
      <c r="E112" s="2" t="n">
        <v>85.18000000000001</v>
      </c>
      <c r="F112" t="inlineStr"/>
      <c r="G112" s="2" t="inlineStr"/>
      <c r="H112" t="inlineStr"/>
      <c r="I112" s="2" t="inlineStr"/>
      <c r="J112" t="inlineStr"/>
      <c r="K112" s="2" t="inlineStr"/>
      <c r="L112" t="inlineStr"/>
      <c r="M112" s="2" t="inlineStr"/>
      <c r="N112" s="2" t="inlineStr"/>
      <c r="O112" s="2">
        <f>IF(P112=J112,I112,IF(P112=L112,K112,M112))</f>
        <v/>
      </c>
      <c r="P112" s="3">
        <f>MIN(J112,L112,N112)</f>
        <v/>
      </c>
      <c r="Q112">
        <f>G112*P112</f>
        <v/>
      </c>
      <c r="R112">
        <f>IF(ISBLANK(H112),0,G112*H112)</f>
        <v/>
      </c>
      <c r="S112">
        <f>IF(R112=0,0,(R112-Q112)/R112)</f>
        <v/>
      </c>
    </row>
    <row r="113">
      <c r="A113" t="inlineStr">
        <is>
          <t>A6540</t>
        </is>
      </c>
      <c r="B113" t="inlineStr">
        <is>
          <t>S04</t>
        </is>
      </c>
      <c r="C113" t="inlineStr">
        <is>
          <t>GRADIENT COMPRESSION STOCKING, WAIST LENGTH, 30-40 MMHG, EACH</t>
        </is>
      </c>
      <c r="D113" t="n">
        <v>3</v>
      </c>
      <c r="E113" s="2" t="n">
        <v>113.61</v>
      </c>
      <c r="F113" t="inlineStr"/>
      <c r="G113" s="2" t="inlineStr"/>
      <c r="H113" t="inlineStr"/>
      <c r="I113" s="2" t="inlineStr"/>
      <c r="J113" t="inlineStr"/>
      <c r="K113" s="2" t="inlineStr"/>
      <c r="L113" t="inlineStr"/>
      <c r="M113" s="2" t="inlineStr"/>
      <c r="N113" s="2" t="inlineStr"/>
      <c r="O113" s="2">
        <f>IF(P113=J113,I113,IF(P113=L113,K113,M113))</f>
        <v/>
      </c>
      <c r="P113" s="3">
        <f>MIN(J113,L113,N113)</f>
        <v/>
      </c>
      <c r="Q113">
        <f>G113*P113</f>
        <v/>
      </c>
      <c r="R113">
        <f>IF(ISBLANK(H113),0,G113*H113)</f>
        <v/>
      </c>
      <c r="S113">
        <f>IF(R113=0,0,(R113-Q113)/R113)</f>
        <v/>
      </c>
    </row>
    <row r="114">
      <c r="A114" t="inlineStr">
        <is>
          <t>A6539</t>
        </is>
      </c>
      <c r="B114" t="inlineStr">
        <is>
          <t>S04</t>
        </is>
      </c>
      <c r="C114" t="inlineStr">
        <is>
          <t>GRADIENT COMPRESSION STOCKING, WAIST LENGTH, 18-30 MMHG, EACH</t>
        </is>
      </c>
      <c r="D114" t="n">
        <v>3</v>
      </c>
      <c r="E114" s="2" t="n">
        <v>95.29000000000001</v>
      </c>
      <c r="F114" t="inlineStr"/>
      <c r="G114" s="2" t="inlineStr"/>
      <c r="H114" t="inlineStr"/>
      <c r="I114" s="2" t="inlineStr"/>
      <c r="J114" t="inlineStr"/>
      <c r="K114" s="2" t="inlineStr"/>
      <c r="L114" t="inlineStr"/>
      <c r="M114" s="2" t="inlineStr"/>
      <c r="N114" s="2" t="inlineStr"/>
      <c r="O114" s="2">
        <f>IF(P114=J114,I114,IF(P114=L114,K114,M114))</f>
        <v/>
      </c>
      <c r="P114" s="3">
        <f>MIN(J114,L114,N114)</f>
        <v/>
      </c>
      <c r="Q114">
        <f>G114*P114</f>
        <v/>
      </c>
      <c r="R114">
        <f>IF(ISBLANK(H114),0,G114*H114)</f>
        <v/>
      </c>
      <c r="S114">
        <f>IF(R114=0,0,(R114-Q114)/R114)</f>
        <v/>
      </c>
    </row>
    <row r="115">
      <c r="A115" t="inlineStr">
        <is>
          <t>A6564</t>
        </is>
      </c>
      <c r="B115" t="inlineStr">
        <is>
          <t>S04</t>
        </is>
      </c>
      <c r="C115" t="inlineStr">
        <is>
          <t>GRADIENT COMPRESSION STOCKING, WAIST LENGTH, 40 MMHG OR GREATER, CUSTOM, EACH</t>
        </is>
      </c>
      <c r="D115" t="n">
        <v>3</v>
      </c>
      <c r="E115" s="2" t="n">
        <v>1065.02</v>
      </c>
      <c r="F115" t="inlineStr"/>
      <c r="G115" s="2" t="inlineStr"/>
      <c r="H115" t="inlineStr"/>
      <c r="I115" s="2" t="inlineStr"/>
      <c r="J115" t="inlineStr"/>
      <c r="K115" s="2" t="inlineStr"/>
      <c r="L115" t="inlineStr"/>
      <c r="M115" s="2" t="inlineStr"/>
      <c r="N115" s="2" t="inlineStr"/>
      <c r="O115" s="2">
        <f>IF(P115=J115,I115,IF(P115=L115,K115,M115))</f>
        <v/>
      </c>
      <c r="P115" s="3">
        <f>MIN(J115,L115,N115)</f>
        <v/>
      </c>
      <c r="Q115">
        <f>G115*P115</f>
        <v/>
      </c>
      <c r="R115">
        <f>IF(ISBLANK(H115),0,G115*H115)</f>
        <v/>
      </c>
      <c r="S115">
        <f>IF(R115=0,0,(R115-Q115)/R115)</f>
        <v/>
      </c>
    </row>
    <row r="116">
      <c r="A116" t="inlineStr">
        <is>
          <t>A6563</t>
        </is>
      </c>
      <c r="B116" t="inlineStr">
        <is>
          <t>S04</t>
        </is>
      </c>
      <c r="C116" t="inlineStr">
        <is>
          <t>GRADIENT COMPRESSION STOCKING, WAIST LENGTH, 30-40 MMHG, CUSTOM, EACH</t>
        </is>
      </c>
      <c r="D116" t="n">
        <v>3</v>
      </c>
      <c r="E116" s="2" t="n">
        <v>988.6799999999999</v>
      </c>
      <c r="F116" t="inlineStr"/>
      <c r="G116" s="2" t="inlineStr"/>
      <c r="H116" t="inlineStr"/>
      <c r="I116" s="2" t="inlineStr"/>
      <c r="J116" t="inlineStr"/>
      <c r="K116" s="2" t="inlineStr"/>
      <c r="L116" t="inlineStr"/>
      <c r="M116" s="2" t="inlineStr"/>
      <c r="N116" s="2" t="inlineStr"/>
      <c r="O116" s="2">
        <f>IF(P116=J116,I116,IF(P116=L116,K116,M116))</f>
        <v/>
      </c>
      <c r="P116" s="3">
        <f>MIN(J116,L116,N116)</f>
        <v/>
      </c>
      <c r="Q116">
        <f>G116*P116</f>
        <v/>
      </c>
      <c r="R116">
        <f>IF(ISBLANK(H116),0,G116*H116)</f>
        <v/>
      </c>
      <c r="S116">
        <f>IF(R116=0,0,(R116-Q116)/R116)</f>
        <v/>
      </c>
    </row>
    <row r="117">
      <c r="A117" t="inlineStr">
        <is>
          <t>A6562</t>
        </is>
      </c>
      <c r="B117" t="inlineStr">
        <is>
          <t>S04</t>
        </is>
      </c>
      <c r="C117" t="inlineStr">
        <is>
          <t>GRADIENT COMPRESSION STOCKING, WAIST LENGTH, 18-30 MMHG, CUSTOM, EACH</t>
        </is>
      </c>
      <c r="D117" t="n">
        <v>3</v>
      </c>
      <c r="E117" s="2" t="n">
        <v>988.6799999999999</v>
      </c>
      <c r="F117" t="inlineStr"/>
      <c r="G117" s="2" t="inlineStr"/>
      <c r="H117" t="inlineStr"/>
      <c r="I117" s="2" t="inlineStr"/>
      <c r="J117" t="inlineStr"/>
      <c r="K117" s="2" t="inlineStr"/>
      <c r="L117" t="inlineStr"/>
      <c r="M117" s="2" t="inlineStr"/>
      <c r="N117" s="2" t="inlineStr"/>
      <c r="O117" s="2">
        <f>IF(P117=J117,I117,IF(P117=L117,K117,M117))</f>
        <v/>
      </c>
      <c r="P117" s="3">
        <f>MIN(J117,L117,N117)</f>
        <v/>
      </c>
      <c r="Q117">
        <f>G117*P117</f>
        <v/>
      </c>
      <c r="R117">
        <f>IF(ISBLANK(H117),0,G117*H117)</f>
        <v/>
      </c>
      <c r="S117">
        <f>IF(R117=0,0,(R117-Q117)/R117)</f>
        <v/>
      </c>
    </row>
    <row r="118">
      <c r="A118" t="inlineStr">
        <is>
          <t>A6558</t>
        </is>
      </c>
      <c r="B118" t="inlineStr">
        <is>
          <t>S04</t>
        </is>
      </c>
      <c r="C118" t="inlineStr">
        <is>
          <t>GRADIENT COMPRESSION STOCKING, THIGH LENGTH, 40 MMHG OR GREATER, CUSTOM, EACH</t>
        </is>
      </c>
      <c r="D118" t="n">
        <v>3</v>
      </c>
      <c r="E118" s="2" t="n">
        <v>311.75</v>
      </c>
      <c r="F118" t="inlineStr"/>
      <c r="G118" s="2" t="inlineStr"/>
      <c r="H118" t="inlineStr"/>
      <c r="I118" s="2" t="inlineStr"/>
      <c r="J118" t="inlineStr"/>
      <c r="K118" s="2" t="inlineStr"/>
      <c r="L118" t="inlineStr"/>
      <c r="M118" s="2" t="inlineStr"/>
      <c r="N118" s="2" t="inlineStr"/>
      <c r="O118" s="2">
        <f>IF(P118=J118,I118,IF(P118=L118,K118,M118))</f>
        <v/>
      </c>
      <c r="P118" s="3">
        <f>MIN(J118,L118,N118)</f>
        <v/>
      </c>
      <c r="Q118">
        <f>G118*P118</f>
        <v/>
      </c>
      <c r="R118">
        <f>IF(ISBLANK(H118),0,G118*H118)</f>
        <v/>
      </c>
      <c r="S118">
        <f>IF(R118=0,0,(R118-Q118)/R118)</f>
        <v/>
      </c>
    </row>
    <row r="119">
      <c r="A119" t="inlineStr">
        <is>
          <t>A6231</t>
        </is>
      </c>
      <c r="B119" t="inlineStr">
        <is>
          <t>S01</t>
        </is>
      </c>
      <c r="C119" t="inlineStr">
        <is>
          <t>GAUZE, IMPREGNATED, HYDROGEL, FOR DIRECT WOUND CONTACT, STERILE, PAD SIZE 16 SQ. IN. OR LESS, EACH DRESSING</t>
        </is>
      </c>
      <c r="D119" t="n">
        <v>3</v>
      </c>
      <c r="E119" s="2" t="n">
        <v>6.53</v>
      </c>
      <c r="F119" t="inlineStr"/>
      <c r="G119" s="2" t="inlineStr"/>
      <c r="H119" t="inlineStr"/>
      <c r="I119" s="2" t="inlineStr"/>
      <c r="J119" t="inlineStr"/>
      <c r="K119" s="2" t="inlineStr"/>
      <c r="L119" t="inlineStr"/>
      <c r="M119" s="2" t="inlineStr"/>
      <c r="N119" s="2" t="inlineStr"/>
      <c r="O119" s="2">
        <f>IF(P119=J119,I119,IF(P119=L119,K119,M119))</f>
        <v/>
      </c>
      <c r="P119" s="3">
        <f>MIN(J119,L119,N119)</f>
        <v/>
      </c>
      <c r="Q119">
        <f>G119*P119</f>
        <v/>
      </c>
      <c r="R119">
        <f>IF(ISBLANK(H119),0,G119*H119)</f>
        <v/>
      </c>
      <c r="S119">
        <f>IF(R119=0,0,(R119-Q119)/R119)</f>
        <v/>
      </c>
    </row>
    <row r="120">
      <c r="A120" t="inlineStr">
        <is>
          <t>A6237</t>
        </is>
      </c>
      <c r="B120" t="inlineStr">
        <is>
          <t>S01</t>
        </is>
      </c>
      <c r="C120" t="inlineStr">
        <is>
          <t>HYDROCOLLOID DRESSING, WOUND COVER, STERILE, PAD SIZE 16 SQ. IN. OR LESS, WITH ANY SIZE ADHESIVE BORDER, EACH DRESSING</t>
        </is>
      </c>
      <c r="D120" t="n">
        <v>3</v>
      </c>
      <c r="E120" s="2" t="n">
        <v>11.05</v>
      </c>
      <c r="F120" t="inlineStr"/>
      <c r="G120" s="2" t="inlineStr"/>
      <c r="H120" t="inlineStr"/>
      <c r="I120" s="2" t="inlineStr"/>
      <c r="J120" t="inlineStr"/>
      <c r="K120" s="2" t="inlineStr"/>
      <c r="L120" t="inlineStr"/>
      <c r="M120" s="2" t="inlineStr"/>
      <c r="N120" s="2" t="inlineStr"/>
      <c r="O120" s="2">
        <f>IF(P120=J120,I120,IF(P120=L120,K120,M120))</f>
        <v/>
      </c>
      <c r="P120" s="3">
        <f>MIN(J120,L120,N120)</f>
        <v/>
      </c>
      <c r="Q120">
        <f>G120*P120</f>
        <v/>
      </c>
      <c r="R120">
        <f>IF(ISBLANK(H120),0,G120*H120)</f>
        <v/>
      </c>
      <c r="S120">
        <f>IF(R120=0,0,(R120-Q120)/R120)</f>
        <v/>
      </c>
    </row>
    <row r="121">
      <c r="A121" t="inlineStr">
        <is>
          <t>A6236</t>
        </is>
      </c>
      <c r="B121" t="inlineStr">
        <is>
          <t>S01</t>
        </is>
      </c>
      <c r="C121" t="inlineStr">
        <is>
          <t>HYDROCOLLOID DRESSING, WOUND COVER, STERILE, PAD SIZE MORE THAN 48 SQ. IN., WITHOUT ADHESIVE BORDER, EACH DRESSING</t>
        </is>
      </c>
      <c r="D121" t="n">
        <v>3</v>
      </c>
      <c r="E121" s="2" t="n">
        <v>38.07</v>
      </c>
      <c r="F121" t="inlineStr"/>
      <c r="G121" s="2" t="inlineStr"/>
      <c r="H121" t="inlineStr"/>
      <c r="I121" s="2" t="inlineStr"/>
      <c r="J121" t="inlineStr"/>
      <c r="K121" s="2" t="inlineStr"/>
      <c r="L121" t="inlineStr"/>
      <c r="M121" s="2" t="inlineStr"/>
      <c r="N121" s="2" t="inlineStr"/>
      <c r="O121" s="2">
        <f>IF(P121=J121,I121,IF(P121=L121,K121,M121))</f>
        <v/>
      </c>
      <c r="P121" s="3">
        <f>MIN(J121,L121,N121)</f>
        <v/>
      </c>
      <c r="Q121">
        <f>G121*P121</f>
        <v/>
      </c>
      <c r="R121">
        <f>IF(ISBLANK(H121),0,G121*H121)</f>
        <v/>
      </c>
      <c r="S121">
        <f>IF(R121=0,0,(R121-Q121)/R121)</f>
        <v/>
      </c>
    </row>
    <row r="122">
      <c r="A122" t="inlineStr">
        <is>
          <t>A6235</t>
        </is>
      </c>
      <c r="B122" t="inlineStr">
        <is>
          <t>S01</t>
        </is>
      </c>
      <c r="C122" t="inlineStr">
        <is>
          <t>HYDROCOLLOID DRESSING, WOUND COVER, STERILE, PAD SIZE MORE THAN 16 SQ. IN. BUT LESS THAN OR EQUAL TO 48 SQ. IN., WITHOUT ADHESIVE BORDER, EACH DRESSING</t>
        </is>
      </c>
      <c r="D122" t="n">
        <v>3</v>
      </c>
      <c r="E122" s="2" t="n">
        <v>23.5</v>
      </c>
      <c r="F122" t="inlineStr"/>
      <c r="G122" s="2" t="inlineStr"/>
      <c r="H122" t="inlineStr"/>
      <c r="I122" s="2" t="inlineStr"/>
      <c r="J122" t="inlineStr"/>
      <c r="K122" s="2" t="inlineStr"/>
      <c r="L122" t="inlineStr"/>
      <c r="M122" s="2" t="inlineStr"/>
      <c r="N122" s="2" t="inlineStr"/>
      <c r="O122" s="2">
        <f>IF(P122=J122,I122,IF(P122=L122,K122,M122))</f>
        <v/>
      </c>
      <c r="P122" s="3">
        <f>MIN(J122,L122,N122)</f>
        <v/>
      </c>
      <c r="Q122">
        <f>G122*P122</f>
        <v/>
      </c>
      <c r="R122">
        <f>IF(ISBLANK(H122),0,G122*H122)</f>
        <v/>
      </c>
      <c r="S122">
        <f>IF(R122=0,0,(R122-Q122)/R122)</f>
        <v/>
      </c>
    </row>
    <row r="123">
      <c r="A123" t="inlineStr">
        <is>
          <t>E0978</t>
        </is>
      </c>
      <c r="B123" t="inlineStr">
        <is>
          <t>M06A</t>
        </is>
      </c>
      <c r="C123" t="inlineStr">
        <is>
          <t>WHEELCHAIR ACCESSORY, POSITIONING BELT/SAFETY BELT/PELVIC STRAP, EACH</t>
        </is>
      </c>
      <c r="D123" t="n">
        <v>3</v>
      </c>
      <c r="E123" s="2" t="n">
        <v>25.52</v>
      </c>
      <c r="F123" t="inlineStr"/>
      <c r="G123" s="2" t="inlineStr"/>
      <c r="H123" t="inlineStr"/>
      <c r="I123" s="2" t="inlineStr"/>
      <c r="J123" t="inlineStr"/>
      <c r="K123" s="2" t="inlineStr"/>
      <c r="L123" t="inlineStr"/>
      <c r="M123" s="2" t="inlineStr"/>
      <c r="N123" s="2" t="inlineStr"/>
      <c r="O123" s="2">
        <f>IF(P123=J123,I123,IF(P123=L123,K123,M123))</f>
        <v/>
      </c>
      <c r="P123" s="3">
        <f>MIN(J123,L123,N123)</f>
        <v/>
      </c>
      <c r="Q123">
        <f>G123*P123</f>
        <v/>
      </c>
      <c r="R123">
        <f>IF(ISBLANK(H123),0,G123*H123)</f>
        <v/>
      </c>
      <c r="S123">
        <f>IF(R123=0,0,(R123-Q123)/R123)</f>
        <v/>
      </c>
    </row>
    <row r="124">
      <c r="A124" t="inlineStr">
        <is>
          <t>E2211</t>
        </is>
      </c>
      <c r="B124" t="inlineStr">
        <is>
          <t>M06A</t>
        </is>
      </c>
      <c r="C124" t="inlineStr">
        <is>
          <t>MANUAL WHEELCHAIR ACCESSORY, PNEUMATIC PROPULSION TIRE, ANY SIZE, EACH</t>
        </is>
      </c>
      <c r="D124" t="n">
        <v>3</v>
      </c>
      <c r="E124" s="2" t="n">
        <v>34.03</v>
      </c>
      <c r="F124" t="inlineStr"/>
      <c r="G124" s="2" t="inlineStr"/>
      <c r="H124" t="inlineStr"/>
      <c r="I124" s="2" t="inlineStr"/>
      <c r="J124" t="inlineStr"/>
      <c r="K124" s="2" t="inlineStr"/>
      <c r="L124" t="inlineStr"/>
      <c r="M124" s="2" t="inlineStr"/>
      <c r="N124" s="2" t="inlineStr"/>
      <c r="O124" s="2">
        <f>IF(P124=J124,I124,IF(P124=L124,K124,M124))</f>
        <v/>
      </c>
      <c r="P124" s="3">
        <f>MIN(J124,L124,N124)</f>
        <v/>
      </c>
      <c r="Q124">
        <f>G124*P124</f>
        <v/>
      </c>
      <c r="R124">
        <f>IF(ISBLANK(H124),0,G124*H124)</f>
        <v/>
      </c>
      <c r="S124">
        <f>IF(R124=0,0,(R124-Q124)/R124)</f>
        <v/>
      </c>
    </row>
    <row r="125">
      <c r="A125" t="inlineStr">
        <is>
          <t>E2227</t>
        </is>
      </c>
      <c r="B125" t="inlineStr">
        <is>
          <t>M06A</t>
        </is>
      </c>
      <c r="C125" t="inlineStr">
        <is>
          <t>MANUAL WHEELCHAIR ACCESSORY, GEAR REDUCTION DRIVE WHEEL, EACH</t>
        </is>
      </c>
      <c r="D125" t="n">
        <v>3</v>
      </c>
      <c r="E125" s="2" t="n">
        <v>251.3</v>
      </c>
      <c r="F125" t="inlineStr"/>
      <c r="G125" s="2" t="inlineStr"/>
      <c r="H125" t="inlineStr"/>
      <c r="I125" s="2" t="inlineStr"/>
      <c r="J125" t="inlineStr"/>
      <c r="K125" s="2" t="inlineStr"/>
      <c r="L125" t="inlineStr"/>
      <c r="M125" s="2" t="inlineStr"/>
      <c r="N125" s="2" t="inlineStr"/>
      <c r="O125" s="2">
        <f>IF(P125=J125,I125,IF(P125=L125,K125,M125))</f>
        <v/>
      </c>
      <c r="P125" s="3">
        <f>MIN(J125,L125,N125)</f>
        <v/>
      </c>
      <c r="Q125">
        <f>G125*P125</f>
        <v/>
      </c>
      <c r="R125">
        <f>IF(ISBLANK(H125),0,G125*H125)</f>
        <v/>
      </c>
      <c r="S125">
        <f>IF(R125=0,0,(R125-Q125)/R125)</f>
        <v/>
      </c>
    </row>
    <row r="126">
      <c r="A126" t="inlineStr">
        <is>
          <t>E2225</t>
        </is>
      </c>
      <c r="B126" t="inlineStr">
        <is>
          <t>M06A</t>
        </is>
      </c>
      <c r="C126" t="inlineStr">
        <is>
          <t>MANUAL WHEELCHAIR ACCESSORY, CASTER WHEEL EXCLUDES TIRE, ANY SIZE, REPLACEMENT ONLY, EACH</t>
        </is>
      </c>
      <c r="D126" t="n">
        <v>3</v>
      </c>
      <c r="E126" s="2" t="n">
        <v>19.31</v>
      </c>
      <c r="F126" t="inlineStr"/>
      <c r="G126" s="2" t="inlineStr"/>
      <c r="H126" t="inlineStr"/>
      <c r="I126" s="2" t="inlineStr"/>
      <c r="J126" t="inlineStr"/>
      <c r="K126" s="2" t="inlineStr"/>
      <c r="L126" t="inlineStr"/>
      <c r="M126" s="2" t="inlineStr"/>
      <c r="N126" s="2" t="inlineStr"/>
      <c r="O126" s="2">
        <f>IF(P126=J126,I126,IF(P126=L126,K126,M126))</f>
        <v/>
      </c>
      <c r="P126" s="3">
        <f>MIN(J126,L126,N126)</f>
        <v/>
      </c>
      <c r="Q126">
        <f>G126*P126</f>
        <v/>
      </c>
      <c r="R126">
        <f>IF(ISBLANK(H126),0,G126*H126)</f>
        <v/>
      </c>
      <c r="S126">
        <f>IF(R126=0,0,(R126-Q126)/R126)</f>
        <v/>
      </c>
    </row>
    <row r="127">
      <c r="A127" t="inlineStr">
        <is>
          <t>A6572</t>
        </is>
      </c>
      <c r="B127" t="inlineStr">
        <is>
          <t>S04</t>
        </is>
      </c>
      <c r="C127" t="inlineStr">
        <is>
          <t>GRADIENT COMPRESSION GARMENT, TOE CAPS, EACH</t>
        </is>
      </c>
      <c r="D127" t="n">
        <v>3</v>
      </c>
      <c r="E127" s="2" t="n">
        <v>102.35</v>
      </c>
      <c r="F127" t="inlineStr"/>
      <c r="G127" s="2" t="inlineStr"/>
      <c r="H127" t="inlineStr"/>
      <c r="I127" s="2" t="inlineStr"/>
      <c r="J127" t="inlineStr"/>
      <c r="K127" s="2" t="inlineStr"/>
      <c r="L127" t="inlineStr"/>
      <c r="M127" s="2" t="inlineStr"/>
      <c r="N127" s="2" t="inlineStr"/>
      <c r="O127" s="2">
        <f>IF(P127=J127,I127,IF(P127=L127,K127,M127))</f>
        <v/>
      </c>
      <c r="P127" s="3">
        <f>MIN(J127,L127,N127)</f>
        <v/>
      </c>
      <c r="Q127">
        <f>G127*P127</f>
        <v/>
      </c>
      <c r="R127">
        <f>IF(ISBLANK(H127),0,G127*H127)</f>
        <v/>
      </c>
      <c r="S127">
        <f>IF(R127=0,0,(R127-Q127)/R127)</f>
        <v/>
      </c>
    </row>
    <row r="128">
      <c r="A128" t="inlineStr">
        <is>
          <t>A6573</t>
        </is>
      </c>
      <c r="B128" t="inlineStr">
        <is>
          <t>S04</t>
        </is>
      </c>
      <c r="C128" t="inlineStr">
        <is>
          <t>GRADIENT COMPRESSION GARMENT, TOE CAPS, CUSTOM, EACH</t>
        </is>
      </c>
      <c r="D128" t="n">
        <v>3</v>
      </c>
      <c r="E128" s="2" t="n">
        <v>242.87</v>
      </c>
      <c r="F128" t="inlineStr"/>
      <c r="G128" s="2" t="inlineStr"/>
      <c r="H128" t="inlineStr"/>
      <c r="I128" s="2" t="inlineStr"/>
      <c r="J128" t="inlineStr"/>
      <c r="K128" s="2" t="inlineStr"/>
      <c r="L128" t="inlineStr"/>
      <c r="M128" s="2" t="inlineStr"/>
      <c r="N128" s="2" t="inlineStr"/>
      <c r="O128" s="2">
        <f>IF(P128=J128,I128,IF(P128=L128,K128,M128))</f>
        <v/>
      </c>
      <c r="P128" s="3">
        <f>MIN(J128,L128,N128)</f>
        <v/>
      </c>
      <c r="Q128">
        <f>G128*P128</f>
        <v/>
      </c>
      <c r="R128">
        <f>IF(ISBLANK(H128),0,G128*H128)</f>
        <v/>
      </c>
      <c r="S128">
        <f>IF(R128=0,0,(R128-Q128)/R128)</f>
        <v/>
      </c>
    </row>
    <row r="129">
      <c r="A129" t="inlineStr">
        <is>
          <t>A6574</t>
        </is>
      </c>
      <c r="B129" t="inlineStr">
        <is>
          <t>S04</t>
        </is>
      </c>
      <c r="C129" t="inlineStr">
        <is>
          <t>GRADIENT COMPRESSION ARM SLEEVE AND GLOVE COMBINATION, CUSTOM, EACH</t>
        </is>
      </c>
      <c r="D129" t="n">
        <v>3</v>
      </c>
      <c r="E129" s="2" t="n">
        <v>309.63</v>
      </c>
      <c r="F129" t="inlineStr"/>
      <c r="G129" s="2" t="inlineStr"/>
      <c r="H129" t="inlineStr"/>
      <c r="I129" s="2" t="inlineStr"/>
      <c r="J129" t="inlineStr"/>
      <c r="K129" s="2" t="inlineStr"/>
      <c r="L129" t="inlineStr"/>
      <c r="M129" s="2" t="inlineStr"/>
      <c r="N129" s="2" t="inlineStr"/>
      <c r="O129" s="2">
        <f>IF(P129=J129,I129,IF(P129=L129,K129,M129))</f>
        <v/>
      </c>
      <c r="P129" s="3">
        <f>MIN(J129,L129,N129)</f>
        <v/>
      </c>
      <c r="Q129">
        <f>G129*P129</f>
        <v/>
      </c>
      <c r="R129">
        <f>IF(ISBLANK(H129),0,G129*H129)</f>
        <v/>
      </c>
      <c r="S129">
        <f>IF(R129=0,0,(R129-Q129)/R129)</f>
        <v/>
      </c>
    </row>
    <row r="130">
      <c r="A130" t="inlineStr">
        <is>
          <t>A6575</t>
        </is>
      </c>
      <c r="B130" t="inlineStr">
        <is>
          <t>S04</t>
        </is>
      </c>
      <c r="C130" t="inlineStr">
        <is>
          <t>GRADIENT  COMPRESSION ARM SLEEVE AND GLOVE COMBINATION, EACH</t>
        </is>
      </c>
      <c r="D130" t="n">
        <v>3</v>
      </c>
      <c r="E130" s="2" t="n">
        <v>100.34</v>
      </c>
      <c r="F130" t="inlineStr"/>
      <c r="G130" s="2" t="inlineStr"/>
      <c r="H130" t="inlineStr"/>
      <c r="I130" s="2" t="inlineStr"/>
      <c r="J130" t="inlineStr"/>
      <c r="K130" s="2" t="inlineStr"/>
      <c r="L130" t="inlineStr"/>
      <c r="M130" s="2" t="inlineStr"/>
      <c r="N130" s="2" t="inlineStr"/>
      <c r="O130" s="2">
        <f>IF(P130=J130,I130,IF(P130=L130,K130,M130))</f>
        <v/>
      </c>
      <c r="P130" s="3">
        <f>MIN(J130,L130,N130)</f>
        <v/>
      </c>
      <c r="Q130">
        <f>G130*P130</f>
        <v/>
      </c>
      <c r="R130">
        <f>IF(ISBLANK(H130),0,G130*H130)</f>
        <v/>
      </c>
      <c r="S130">
        <f>IF(R130=0,0,(R130-Q130)/R130)</f>
        <v/>
      </c>
    </row>
    <row r="131">
      <c r="A131" t="inlineStr">
        <is>
          <t>A6603</t>
        </is>
      </c>
      <c r="B131" t="inlineStr">
        <is>
          <t>S04</t>
        </is>
      </c>
      <c r="C131" t="inlineStr">
        <is>
          <t>GRADIENT COMPRESSION BANDAGING SUPPLY, LOW DENSITY CHANNEL FOAM SHEET, PER 250 SQUARE CENTIMETERS, EACH</t>
        </is>
      </c>
      <c r="D131" t="n">
        <v>3</v>
      </c>
      <c r="E131" s="2" t="n">
        <v>2.3</v>
      </c>
      <c r="F131" t="inlineStr"/>
      <c r="G131" s="2" t="inlineStr"/>
      <c r="H131" t="inlineStr"/>
      <c r="I131" s="2" t="inlineStr"/>
      <c r="J131" t="inlineStr"/>
      <c r="K131" s="2" t="inlineStr"/>
      <c r="L131" t="inlineStr"/>
      <c r="M131" s="2" t="inlineStr"/>
      <c r="N131" s="2" t="inlineStr"/>
      <c r="O131" s="2">
        <f>IF(P131=J131,I131,IF(P131=L131,K131,M131))</f>
        <v/>
      </c>
      <c r="P131" s="3">
        <f>MIN(J131,L131,N131)</f>
        <v/>
      </c>
      <c r="Q131">
        <f>G131*P131</f>
        <v/>
      </c>
      <c r="R131">
        <f>IF(ISBLANK(H131),0,G131*H131)</f>
        <v/>
      </c>
      <c r="S131">
        <f>IF(R131=0,0,(R131-Q131)/R131)</f>
        <v/>
      </c>
    </row>
    <row r="132">
      <c r="A132" t="inlineStr">
        <is>
          <t>A6604</t>
        </is>
      </c>
      <c r="B132" t="inlineStr">
        <is>
          <t>S04</t>
        </is>
      </c>
      <c r="C132" t="inlineStr">
        <is>
          <t>GRADIENT COMPRESSION BANDAGING SUPPLY, LOW DENSITY FLAT FOAM SHEET, PER 250 SQUARE CENTIMETERS, EACH</t>
        </is>
      </c>
      <c r="D132" t="n">
        <v>3</v>
      </c>
      <c r="E132" s="2" t="n">
        <v>1.34</v>
      </c>
      <c r="F132" t="inlineStr"/>
      <c r="G132" s="2" t="inlineStr"/>
      <c r="H132" t="inlineStr"/>
      <c r="I132" s="2" t="inlineStr"/>
      <c r="J132" t="inlineStr"/>
      <c r="K132" s="2" t="inlineStr"/>
      <c r="L132" t="inlineStr"/>
      <c r="M132" s="2" t="inlineStr"/>
      <c r="N132" s="2" t="inlineStr"/>
      <c r="O132" s="2">
        <f>IF(P132=J132,I132,IF(P132=L132,K132,M132))</f>
        <v/>
      </c>
      <c r="P132" s="3">
        <f>MIN(J132,L132,N132)</f>
        <v/>
      </c>
      <c r="Q132">
        <f>G132*P132</f>
        <v/>
      </c>
      <c r="R132">
        <f>IF(ISBLANK(H132),0,G132*H132)</f>
        <v/>
      </c>
      <c r="S132">
        <f>IF(R132=0,0,(R132-Q132)/R132)</f>
        <v/>
      </c>
    </row>
    <row r="133">
      <c r="A133" t="inlineStr">
        <is>
          <t>A6243</t>
        </is>
      </c>
      <c r="B133" t="inlineStr">
        <is>
          <t>S01</t>
        </is>
      </c>
      <c r="C133" t="inlineStr">
        <is>
          <t>HYDROGEL DRESSING, WOUND COVER, STERILE, PAD SIZE MORE THAN 16 SQ. IN. BUT LESS THAN OR EQUAL TO 48 SQ. IN., WITHOUT ADHESIVE BORDER, EACH DRESSING</t>
        </is>
      </c>
      <c r="D133" t="n">
        <v>3</v>
      </c>
      <c r="E133" s="2" t="n">
        <v>17.22</v>
      </c>
      <c r="F133" t="inlineStr"/>
      <c r="G133" s="2" t="inlineStr"/>
      <c r="H133" t="inlineStr"/>
      <c r="I133" s="2" t="inlineStr"/>
      <c r="J133" t="inlineStr"/>
      <c r="K133" s="2" t="inlineStr"/>
      <c r="L133" t="inlineStr"/>
      <c r="M133" s="2" t="inlineStr"/>
      <c r="N133" s="2" t="inlineStr"/>
      <c r="O133" s="2">
        <f>IF(P133=J133,I133,IF(P133=L133,K133,M133))</f>
        <v/>
      </c>
      <c r="P133" s="3">
        <f>MIN(J133,L133,N133)</f>
        <v/>
      </c>
      <c r="Q133">
        <f>G133*P133</f>
        <v/>
      </c>
      <c r="R133">
        <f>IF(ISBLANK(H133),0,G133*H133)</f>
        <v/>
      </c>
      <c r="S133">
        <f>IF(R133=0,0,(R133-Q133)/R133)</f>
        <v/>
      </c>
    </row>
    <row r="134">
      <c r="A134" t="inlineStr">
        <is>
          <t>A6571</t>
        </is>
      </c>
      <c r="B134" t="inlineStr">
        <is>
          <t>S04</t>
        </is>
      </c>
      <c r="C134" t="inlineStr">
        <is>
          <t>GRADIENT COMPRESSION GARMENT, GENITAL REGION, CUSTOM, EACH</t>
        </is>
      </c>
      <c r="D134" t="n">
        <v>3</v>
      </c>
      <c r="E134" s="2" t="n">
        <v>662.9400000000001</v>
      </c>
      <c r="F134" t="inlineStr"/>
      <c r="G134" s="2" t="inlineStr"/>
      <c r="H134" t="inlineStr"/>
      <c r="I134" s="2" t="inlineStr"/>
      <c r="J134" t="inlineStr"/>
      <c r="K134" s="2" t="inlineStr"/>
      <c r="L134" t="inlineStr"/>
      <c r="M134" s="2" t="inlineStr"/>
      <c r="N134" s="2" t="inlineStr"/>
      <c r="O134" s="2">
        <f>IF(P134=J134,I134,IF(P134=L134,K134,M134))</f>
        <v/>
      </c>
      <c r="P134" s="3">
        <f>MIN(J134,L134,N134)</f>
        <v/>
      </c>
      <c r="Q134">
        <f>G134*P134</f>
        <v/>
      </c>
      <c r="R134">
        <f>IF(ISBLANK(H134),0,G134*H134)</f>
        <v/>
      </c>
      <c r="S134">
        <f>IF(R134=0,0,(R134-Q134)/R134)</f>
        <v/>
      </c>
    </row>
    <row r="135">
      <c r="A135" t="inlineStr">
        <is>
          <t>A6557</t>
        </is>
      </c>
      <c r="B135" t="inlineStr">
        <is>
          <t>S04</t>
        </is>
      </c>
      <c r="C135" t="inlineStr">
        <is>
          <t>GRADIENT COMPRESSION STOCKING, THIGH LENGTH, 30-40 MMHG, CUSTOM, EACH</t>
        </is>
      </c>
      <c r="D135" t="n">
        <v>3</v>
      </c>
      <c r="E135" s="2" t="n">
        <v>302.09</v>
      </c>
      <c r="F135" t="inlineStr"/>
      <c r="G135" s="2" t="inlineStr"/>
      <c r="H135" t="inlineStr"/>
      <c r="I135" s="2" t="inlineStr"/>
      <c r="J135" t="inlineStr"/>
      <c r="K135" s="2" t="inlineStr"/>
      <c r="L135" t="inlineStr"/>
      <c r="M135" s="2" t="inlineStr"/>
      <c r="N135" s="2" t="inlineStr"/>
      <c r="O135" s="2">
        <f>IF(P135=J135,I135,IF(P135=L135,K135,M135))</f>
        <v/>
      </c>
      <c r="P135" s="3">
        <f>MIN(J135,L135,N135)</f>
        <v/>
      </c>
      <c r="Q135">
        <f>G135*P135</f>
        <v/>
      </c>
      <c r="R135">
        <f>IF(ISBLANK(H135),0,G135*H135)</f>
        <v/>
      </c>
      <c r="S135">
        <f>IF(R135=0,0,(R135-Q135)/R135)</f>
        <v/>
      </c>
    </row>
    <row r="136">
      <c r="A136" t="inlineStr">
        <is>
          <t>A6552</t>
        </is>
      </c>
      <c r="B136" t="inlineStr">
        <is>
          <t>S04</t>
        </is>
      </c>
      <c r="C136" t="inlineStr">
        <is>
          <t>GRADIENT COMPRESSION STOCKING, BELOW KNEE, 30-40 MMHG, EACH</t>
        </is>
      </c>
      <c r="D136" t="n">
        <v>3</v>
      </c>
      <c r="E136" s="2" t="n">
        <v>56.45</v>
      </c>
      <c r="F136" t="inlineStr"/>
      <c r="G136" s="2" t="inlineStr"/>
      <c r="H136" t="inlineStr"/>
      <c r="I136" s="2" t="inlineStr"/>
      <c r="J136" t="inlineStr"/>
      <c r="K136" s="2" t="inlineStr"/>
      <c r="L136" t="inlineStr"/>
      <c r="M136" s="2" t="inlineStr"/>
      <c r="N136" s="2" t="inlineStr"/>
      <c r="O136" s="2">
        <f>IF(P136=J136,I136,IF(P136=L136,K136,M136))</f>
        <v/>
      </c>
      <c r="P136" s="3">
        <f>MIN(J136,L136,N136)</f>
        <v/>
      </c>
      <c r="Q136">
        <f>G136*P136</f>
        <v/>
      </c>
      <c r="R136">
        <f>IF(ISBLANK(H136),0,G136*H136)</f>
        <v/>
      </c>
      <c r="S136">
        <f>IF(R136=0,0,(R136-Q136)/R136)</f>
        <v/>
      </c>
    </row>
    <row r="137">
      <c r="A137" t="inlineStr">
        <is>
          <t>A6566</t>
        </is>
      </c>
      <c r="B137" t="inlineStr">
        <is>
          <t>S04</t>
        </is>
      </c>
      <c r="C137" t="inlineStr">
        <is>
          <t>GRADIENT COMPRESSION GARMENT, NECK/HEAD, EACH</t>
        </is>
      </c>
      <c r="D137" t="n">
        <v>3</v>
      </c>
      <c r="E137" s="2" t="n">
        <v>248.05</v>
      </c>
      <c r="F137" t="inlineStr"/>
      <c r="G137" s="2" t="inlineStr"/>
      <c r="H137" t="inlineStr"/>
      <c r="I137" s="2" t="inlineStr"/>
      <c r="J137" t="inlineStr"/>
      <c r="K137" s="2" t="inlineStr"/>
      <c r="L137" t="inlineStr"/>
      <c r="M137" s="2" t="inlineStr"/>
      <c r="N137" s="2" t="inlineStr"/>
      <c r="O137" s="2">
        <f>IF(P137=J137,I137,IF(P137=L137,K137,M137))</f>
        <v/>
      </c>
      <c r="P137" s="3">
        <f>MIN(J137,L137,N137)</f>
        <v/>
      </c>
      <c r="Q137">
        <f>G137*P137</f>
        <v/>
      </c>
      <c r="R137">
        <f>IF(ISBLANK(H137),0,G137*H137)</f>
        <v/>
      </c>
      <c r="S137">
        <f>IF(R137=0,0,(R137-Q137)/R137)</f>
        <v/>
      </c>
    </row>
    <row r="138">
      <c r="A138" t="inlineStr">
        <is>
          <t>A6565</t>
        </is>
      </c>
      <c r="B138" t="inlineStr">
        <is>
          <t>S04</t>
        </is>
      </c>
      <c r="C138" t="inlineStr">
        <is>
          <t>GRADIENT COMPRESSION GAUNTLET, CUSTOM, EACH</t>
        </is>
      </c>
      <c r="D138" t="n">
        <v>3</v>
      </c>
      <c r="E138" s="2" t="n">
        <v>170.84</v>
      </c>
      <c r="F138" t="inlineStr"/>
      <c r="G138" s="2" t="inlineStr"/>
      <c r="H138" t="inlineStr"/>
      <c r="I138" s="2" t="inlineStr"/>
      <c r="J138" t="inlineStr"/>
      <c r="K138" s="2" t="inlineStr"/>
      <c r="L138" t="inlineStr"/>
      <c r="M138" s="2" t="inlineStr"/>
      <c r="N138" s="2" t="inlineStr"/>
      <c r="O138" s="2">
        <f>IF(P138=J138,I138,IF(P138=L138,K138,M138))</f>
        <v/>
      </c>
      <c r="P138" s="3">
        <f>MIN(J138,L138,N138)</f>
        <v/>
      </c>
      <c r="Q138">
        <f>G138*P138</f>
        <v/>
      </c>
      <c r="R138">
        <f>IF(ISBLANK(H138),0,G138*H138)</f>
        <v/>
      </c>
      <c r="S138">
        <f>IF(R138=0,0,(R138-Q138)/R138)</f>
        <v/>
      </c>
    </row>
    <row r="139">
      <c r="A139" t="inlineStr">
        <is>
          <t>A6567</t>
        </is>
      </c>
      <c r="B139" t="inlineStr">
        <is>
          <t>S04</t>
        </is>
      </c>
      <c r="C139" t="inlineStr">
        <is>
          <t>GRADIENT COMPRESSION GARMENT, NECK/HEAD, CUSTOM, EACH</t>
        </is>
      </c>
      <c r="D139" t="n">
        <v>3</v>
      </c>
      <c r="E139" s="2" t="n">
        <v>779.38</v>
      </c>
      <c r="F139" t="inlineStr"/>
      <c r="G139" s="2" t="inlineStr"/>
      <c r="H139" t="inlineStr"/>
      <c r="I139" s="2" t="inlineStr"/>
      <c r="J139" t="inlineStr"/>
      <c r="K139" s="2" t="inlineStr"/>
      <c r="L139" t="inlineStr"/>
      <c r="M139" s="2" t="inlineStr"/>
      <c r="N139" s="2" t="inlineStr"/>
      <c r="O139" s="2">
        <f>IF(P139=J139,I139,IF(P139=L139,K139,M139))</f>
        <v/>
      </c>
      <c r="P139" s="3">
        <f>MIN(J139,L139,N139)</f>
        <v/>
      </c>
      <c r="Q139">
        <f>G139*P139</f>
        <v/>
      </c>
      <c r="R139">
        <f>IF(ISBLANK(H139),0,G139*H139)</f>
        <v/>
      </c>
      <c r="S139">
        <f>IF(R139=0,0,(R139-Q139)/R139)</f>
        <v/>
      </c>
    </row>
    <row r="140">
      <c r="A140" t="inlineStr">
        <is>
          <t>A6605</t>
        </is>
      </c>
      <c r="B140" t="inlineStr">
        <is>
          <t>S04</t>
        </is>
      </c>
      <c r="C140" t="inlineStr">
        <is>
          <t>GRADIENT COMPRESSION BANDAGING SUPPLY, PADDED FOAM, PER LINEAR YARD, ANY WIDTH, EACH</t>
        </is>
      </c>
      <c r="D140" t="n">
        <v>3</v>
      </c>
      <c r="E140" s="2" t="n">
        <v>1.53</v>
      </c>
      <c r="F140" t="inlineStr"/>
      <c r="G140" s="2" t="inlineStr"/>
      <c r="H140" t="inlineStr"/>
      <c r="I140" s="2" t="inlineStr"/>
      <c r="J140" t="inlineStr"/>
      <c r="K140" s="2" t="inlineStr"/>
      <c r="L140" t="inlineStr"/>
      <c r="M140" s="2" t="inlineStr"/>
      <c r="N140" s="2" t="inlineStr"/>
      <c r="O140" s="2">
        <f>IF(P140=J140,I140,IF(P140=L140,K140,M140))</f>
        <v/>
      </c>
      <c r="P140" s="3">
        <f>MIN(J140,L140,N140)</f>
        <v/>
      </c>
      <c r="Q140">
        <f>G140*P140</f>
        <v/>
      </c>
      <c r="R140">
        <f>IF(ISBLANK(H140),0,G140*H140)</f>
        <v/>
      </c>
      <c r="S140">
        <f>IF(R140=0,0,(R140-Q140)/R140)</f>
        <v/>
      </c>
    </row>
    <row r="141">
      <c r="A141" t="inlineStr">
        <is>
          <t>A6197</t>
        </is>
      </c>
      <c r="B141" t="inlineStr">
        <is>
          <t>S01</t>
        </is>
      </c>
      <c r="C141" t="inlineStr">
        <is>
          <t>ALGINATE OR OTHER FIBER GELLING DRESSING, WOUND COVER, STERILE, PAD SIZE MORE THAN 16 SQ. IN. BUT LESS THAN OR EQUAL TO 48 SQ. IN., EACH DRESSING</t>
        </is>
      </c>
      <c r="D141" t="n">
        <v>3</v>
      </c>
      <c r="E141" s="2" t="n">
        <v>22.98</v>
      </c>
      <c r="F141" t="inlineStr"/>
      <c r="G141" s="2" t="inlineStr"/>
      <c r="H141" t="inlineStr"/>
      <c r="I141" s="2" t="inlineStr"/>
      <c r="J141" t="inlineStr"/>
      <c r="K141" s="2" t="inlineStr"/>
      <c r="L141" t="inlineStr"/>
      <c r="M141" s="2" t="inlineStr"/>
      <c r="N141" s="2" t="inlineStr"/>
      <c r="O141" s="2">
        <f>IF(P141=J141,I141,IF(P141=L141,K141,M141))</f>
        <v/>
      </c>
      <c r="P141" s="3">
        <f>MIN(J141,L141,N141)</f>
        <v/>
      </c>
      <c r="Q141">
        <f>G141*P141</f>
        <v/>
      </c>
      <c r="R141">
        <f>IF(ISBLANK(H141),0,G141*H141)</f>
        <v/>
      </c>
      <c r="S141">
        <f>IF(R141=0,0,(R141-Q141)/R141)</f>
        <v/>
      </c>
    </row>
    <row r="142">
      <c r="A142" t="inlineStr">
        <is>
          <t>A6196</t>
        </is>
      </c>
      <c r="B142" t="inlineStr">
        <is>
          <t>S01</t>
        </is>
      </c>
      <c r="C142" t="inlineStr">
        <is>
          <t>ALGINATE OR OTHER FIBER GELLING DRESSING, WOUND COVER, STERILE, PAD SIZE 16 SQ. IN. OR LESS, EACH DRESSING</t>
        </is>
      </c>
      <c r="D142" t="n">
        <v>3</v>
      </c>
      <c r="E142" s="2" t="n">
        <v>10.28</v>
      </c>
      <c r="F142" t="inlineStr"/>
      <c r="G142" s="2" t="inlineStr"/>
      <c r="H142" t="inlineStr"/>
      <c r="I142" s="2" t="inlineStr"/>
      <c r="J142" t="inlineStr"/>
      <c r="K142" s="2" t="inlineStr"/>
      <c r="L142" t="inlineStr"/>
      <c r="M142" s="2" t="inlineStr"/>
      <c r="N142" s="2" t="inlineStr"/>
      <c r="O142" s="2">
        <f>IF(P142=J142,I142,IF(P142=L142,K142,M142))</f>
        <v/>
      </c>
      <c r="P142" s="3">
        <f>MIN(J142,L142,N142)</f>
        <v/>
      </c>
      <c r="Q142">
        <f>G142*P142</f>
        <v/>
      </c>
      <c r="R142">
        <f>IF(ISBLANK(H142),0,G142*H142)</f>
        <v/>
      </c>
      <c r="S142">
        <f>IF(R142=0,0,(R142-Q142)/R142)</f>
        <v/>
      </c>
    </row>
    <row r="143">
      <c r="A143" t="inlineStr">
        <is>
          <t>A6253</t>
        </is>
      </c>
      <c r="B143" t="inlineStr">
        <is>
          <t>S01</t>
        </is>
      </c>
      <c r="C143" t="inlineStr">
        <is>
          <t>SPECIALTY ABSORPTIVE DRESSING, WOUND COVER, STERILE, PAD SIZE MORE THAN 48 SQ. IN., WITHOUT ADHESIVE BORDER, EACH DRESSING</t>
        </is>
      </c>
      <c r="D143" t="n">
        <v>3</v>
      </c>
      <c r="E143" s="2" t="n">
        <v>8.85</v>
      </c>
      <c r="F143" t="inlineStr"/>
      <c r="G143" s="2" t="inlineStr"/>
      <c r="H143" t="inlineStr"/>
      <c r="I143" s="2" t="inlineStr"/>
      <c r="J143" t="inlineStr"/>
      <c r="K143" s="2" t="inlineStr"/>
      <c r="L143" t="inlineStr"/>
      <c r="M143" s="2" t="inlineStr"/>
      <c r="N143" s="2" t="inlineStr"/>
      <c r="O143" s="2">
        <f>IF(P143=J143,I143,IF(P143=L143,K143,M143))</f>
        <v/>
      </c>
      <c r="P143" s="3">
        <f>MIN(J143,L143,N143)</f>
        <v/>
      </c>
      <c r="Q143">
        <f>G143*P143</f>
        <v/>
      </c>
      <c r="R143">
        <f>IF(ISBLANK(H143),0,G143*H143)</f>
        <v/>
      </c>
      <c r="S143">
        <f>IF(R143=0,0,(R143-Q143)/R143)</f>
        <v/>
      </c>
    </row>
    <row r="144">
      <c r="A144" t="inlineStr">
        <is>
          <t>A6252</t>
        </is>
      </c>
      <c r="B144" t="inlineStr">
        <is>
          <t>S01</t>
        </is>
      </c>
      <c r="C144" t="inlineStr">
        <is>
          <t>SPECIALTY ABSORPTIVE DRESSING, WOUND COVER, STERILE, PAD SIZE MORE THAN 16 SQ. IN. BUT LESS THAN OR EQUAL TO 48 SQ. IN., WITHOUT ADHESIVE BORDER, EACH DRESSING</t>
        </is>
      </c>
      <c r="D144" t="n">
        <v>3</v>
      </c>
      <c r="E144" s="2" t="n">
        <v>4.55</v>
      </c>
      <c r="F144" t="inlineStr"/>
      <c r="G144" s="2" t="inlineStr"/>
      <c r="H144" t="inlineStr"/>
      <c r="I144" s="2" t="inlineStr"/>
      <c r="J144" t="inlineStr"/>
      <c r="K144" s="2" t="inlineStr"/>
      <c r="L144" t="inlineStr"/>
      <c r="M144" s="2" t="inlineStr"/>
      <c r="N144" s="2" t="inlineStr"/>
      <c r="O144" s="2">
        <f>IF(P144=J144,I144,IF(P144=L144,K144,M144))</f>
        <v/>
      </c>
      <c r="P144" s="3">
        <f>MIN(J144,L144,N144)</f>
        <v/>
      </c>
      <c r="Q144">
        <f>G144*P144</f>
        <v/>
      </c>
      <c r="R144">
        <f>IF(ISBLANK(H144),0,G144*H144)</f>
        <v/>
      </c>
      <c r="S144">
        <f>IF(R144=0,0,(R144-Q144)/R144)</f>
        <v/>
      </c>
    </row>
    <row r="145">
      <c r="A145" t="inlineStr">
        <is>
          <t>A6251</t>
        </is>
      </c>
      <c r="B145" t="inlineStr">
        <is>
          <t>S01</t>
        </is>
      </c>
      <c r="C145" t="inlineStr">
        <is>
          <t>SPECIALTY ABSORPTIVE DRESSING, WOUND COVER, STERILE, PAD SIZE 16 SQ. IN. OR LESS, WITHOUT ADHESIVE BORDER, EACH DRESSING</t>
        </is>
      </c>
      <c r="D145" t="n">
        <v>3</v>
      </c>
      <c r="E145" s="2" t="n">
        <v>2.78</v>
      </c>
      <c r="F145" t="inlineStr"/>
      <c r="G145" s="2" t="inlineStr"/>
      <c r="H145" t="inlineStr"/>
      <c r="I145" s="2" t="inlineStr"/>
      <c r="J145" t="inlineStr"/>
      <c r="K145" s="2" t="inlineStr"/>
      <c r="L145" t="inlineStr"/>
      <c r="M145" s="2" t="inlineStr"/>
      <c r="N145" s="2" t="inlineStr"/>
      <c r="O145" s="2">
        <f>IF(P145=J145,I145,IF(P145=L145,K145,M145))</f>
        <v/>
      </c>
      <c r="P145" s="3">
        <f>MIN(J145,L145,N145)</f>
        <v/>
      </c>
      <c r="Q145">
        <f>G145*P145</f>
        <v/>
      </c>
      <c r="R145">
        <f>IF(ISBLANK(H145),0,G145*H145)</f>
        <v/>
      </c>
      <c r="S145">
        <f>IF(R145=0,0,(R145-Q145)/R145)</f>
        <v/>
      </c>
    </row>
    <row r="146">
      <c r="A146" t="inlineStr">
        <is>
          <t>A6248</t>
        </is>
      </c>
      <c r="B146" t="inlineStr">
        <is>
          <t>S01</t>
        </is>
      </c>
      <c r="C146" t="inlineStr">
        <is>
          <t>HYDROGEL DRESSING, WOUND FILLER, GEL, PER FLUID OUNCE</t>
        </is>
      </c>
      <c r="D146" t="n">
        <v>3</v>
      </c>
      <c r="E146" s="2" t="n">
        <v>22.7</v>
      </c>
      <c r="F146" t="inlineStr"/>
      <c r="G146" s="2" t="inlineStr"/>
      <c r="H146" t="inlineStr"/>
      <c r="I146" s="2" t="inlineStr"/>
      <c r="J146" t="inlineStr"/>
      <c r="K146" s="2" t="inlineStr"/>
      <c r="L146" t="inlineStr"/>
      <c r="M146" s="2" t="inlineStr"/>
      <c r="N146" s="2" t="inlineStr"/>
      <c r="O146" s="2">
        <f>IF(P146=J146,I146,IF(P146=L146,K146,M146))</f>
        <v/>
      </c>
      <c r="P146" s="3">
        <f>MIN(J146,L146,N146)</f>
        <v/>
      </c>
      <c r="Q146">
        <f>G146*P146</f>
        <v/>
      </c>
      <c r="R146">
        <f>IF(ISBLANK(H146),0,G146*H146)</f>
        <v/>
      </c>
      <c r="S146">
        <f>IF(R146=0,0,(R146-Q146)/R146)</f>
        <v/>
      </c>
    </row>
    <row r="147">
      <c r="A147" t="inlineStr">
        <is>
          <t>A6234</t>
        </is>
      </c>
      <c r="B147" t="inlineStr">
        <is>
          <t>S01</t>
        </is>
      </c>
      <c r="C147" t="inlineStr">
        <is>
          <t>HYDROCOLLOID DRESSING, WOUND COVER, STERILE, PAD SIZE 16 SQ. IN. OR LESS, WITHOUT ADHESIVE BORDER, EACH DRESSING</t>
        </is>
      </c>
      <c r="D147" t="n">
        <v>3</v>
      </c>
      <c r="E147" s="2" t="n">
        <v>9.15</v>
      </c>
      <c r="F147" t="inlineStr"/>
      <c r="G147" s="2" t="inlineStr"/>
      <c r="H147" t="inlineStr"/>
      <c r="I147" s="2" t="inlineStr"/>
      <c r="J147" t="inlineStr"/>
      <c r="K147" s="2" t="inlineStr"/>
      <c r="L147" t="inlineStr"/>
      <c r="M147" s="2" t="inlineStr"/>
      <c r="N147" s="2" t="inlineStr"/>
      <c r="O147" s="2">
        <f>IF(P147=J147,I147,IF(P147=L147,K147,M147))</f>
        <v/>
      </c>
      <c r="P147" s="3">
        <f>MIN(J147,L147,N147)</f>
        <v/>
      </c>
      <c r="Q147">
        <f>G147*P147</f>
        <v/>
      </c>
      <c r="R147">
        <f>IF(ISBLANK(H147),0,G147*H147)</f>
        <v/>
      </c>
      <c r="S147">
        <f>IF(R147=0,0,(R147-Q147)/R147)</f>
        <v/>
      </c>
    </row>
    <row r="148">
      <c r="A148" t="inlineStr">
        <is>
          <t>A6233</t>
        </is>
      </c>
      <c r="B148" t="inlineStr">
        <is>
          <t>S01</t>
        </is>
      </c>
      <c r="C148" t="inlineStr">
        <is>
          <t>GAUZE, IMPREGNATED, HYDROGEL, FOR DIRECT WOUND CONTACT, STERILE, PAD SIZE MORE THAN 48 SQ. IN., EACH DRESSING</t>
        </is>
      </c>
      <c r="D148" t="n">
        <v>3</v>
      </c>
      <c r="E148" s="2" t="n">
        <v>26.79</v>
      </c>
      <c r="F148" t="inlineStr"/>
      <c r="G148" s="2" t="inlineStr"/>
      <c r="H148" t="inlineStr"/>
      <c r="I148" s="2" t="inlineStr"/>
      <c r="J148" t="inlineStr"/>
      <c r="K148" s="2" t="inlineStr"/>
      <c r="L148" t="inlineStr"/>
      <c r="M148" s="2" t="inlineStr"/>
      <c r="N148" s="2" t="inlineStr"/>
      <c r="O148" s="2">
        <f>IF(P148=J148,I148,IF(P148=L148,K148,M148))</f>
        <v/>
      </c>
      <c r="P148" s="3">
        <f>MIN(J148,L148,N148)</f>
        <v/>
      </c>
      <c r="Q148">
        <f>G148*P148</f>
        <v/>
      </c>
      <c r="R148">
        <f>IF(ISBLANK(H148),0,G148*H148)</f>
        <v/>
      </c>
      <c r="S148">
        <f>IF(R148=0,0,(R148-Q148)/R148)</f>
        <v/>
      </c>
    </row>
    <row r="149">
      <c r="A149" t="inlineStr">
        <is>
          <t>A6232</t>
        </is>
      </c>
      <c r="B149" t="inlineStr">
        <is>
          <t>S01</t>
        </is>
      </c>
      <c r="C149" t="inlineStr">
        <is>
          <t>GAUZE, IMPREGNATED, HYDROGEL, FOR DIRECT WOUND CONTACT, STERILE, PAD SIZE GREATER THAN 16 SQ. IN., BUT LESS THAN OR EQUAL TO 48 SQ. IN., EACH DRESSING</t>
        </is>
      </c>
      <c r="D149" t="n">
        <v>3</v>
      </c>
      <c r="E149" s="2" t="n">
        <v>9.59</v>
      </c>
      <c r="F149" t="inlineStr"/>
      <c r="G149" s="2" t="inlineStr"/>
      <c r="H149" t="inlineStr"/>
      <c r="I149" s="2" t="inlineStr"/>
      <c r="J149" t="inlineStr"/>
      <c r="K149" s="2" t="inlineStr"/>
      <c r="L149" t="inlineStr"/>
      <c r="M149" s="2" t="inlineStr"/>
      <c r="N149" s="2" t="inlineStr"/>
      <c r="O149" s="2">
        <f>IF(P149=J149,I149,IF(P149=L149,K149,M149))</f>
        <v/>
      </c>
      <c r="P149" s="3">
        <f>MIN(J149,L149,N149)</f>
        <v/>
      </c>
      <c r="Q149">
        <f>G149*P149</f>
        <v/>
      </c>
      <c r="R149">
        <f>IF(ISBLANK(H149),0,G149*H149)</f>
        <v/>
      </c>
      <c r="S149">
        <f>IF(R149=0,0,(R149-Q149)/R149)</f>
        <v/>
      </c>
    </row>
    <row r="150">
      <c r="A150" t="inlineStr">
        <is>
          <t>A6246</t>
        </is>
      </c>
      <c r="B150" t="inlineStr">
        <is>
          <t>S01</t>
        </is>
      </c>
      <c r="C150" t="inlineStr">
        <is>
          <t>HYDROGEL DRESSING, WOUND COVER, STERILE, PAD SIZE MORE THAN 16 SQ. IN. BUT LESS THAN OR EQUAL TO 48 SQ. IN., WITH ANY SIZE ADHESIVE BORDER, EACH DRESSING</t>
        </is>
      </c>
      <c r="D150" t="n">
        <v>3</v>
      </c>
      <c r="E150" s="2" t="n">
        <v>13.88</v>
      </c>
      <c r="F150" t="inlineStr"/>
      <c r="G150" s="2" t="inlineStr"/>
      <c r="H150" t="inlineStr"/>
      <c r="I150" s="2" t="inlineStr"/>
      <c r="J150" t="inlineStr"/>
      <c r="K150" s="2" t="inlineStr"/>
      <c r="L150" t="inlineStr"/>
      <c r="M150" s="2" t="inlineStr"/>
      <c r="N150" s="2" t="inlineStr"/>
      <c r="O150" s="2">
        <f>IF(P150=J150,I150,IF(P150=L150,K150,M150))</f>
        <v/>
      </c>
      <c r="P150" s="3">
        <f>MIN(J150,L150,N150)</f>
        <v/>
      </c>
      <c r="Q150">
        <f>G150*P150</f>
        <v/>
      </c>
      <c r="R150">
        <f>IF(ISBLANK(H150),0,G150*H150)</f>
        <v/>
      </c>
      <c r="S150">
        <f>IF(R150=0,0,(R150-Q150)/R150)</f>
        <v/>
      </c>
    </row>
    <row r="151">
      <c r="A151" t="inlineStr">
        <is>
          <t>A6595</t>
        </is>
      </c>
      <c r="B151" t="inlineStr">
        <is>
          <t>S04</t>
        </is>
      </c>
      <c r="C151" t="inlineStr">
        <is>
          <t>GRADIENT COMPRESSION BANDAGING SUPPLY, BANDAGE LINER, UPPER EXTREMITY, ANY SIZE OR LENGTH, EACH</t>
        </is>
      </c>
      <c r="D151" t="n">
        <v>3</v>
      </c>
      <c r="E151" s="2" t="n">
        <v>33.57</v>
      </c>
      <c r="F151" t="inlineStr"/>
      <c r="G151" s="2" t="inlineStr"/>
      <c r="H151" t="inlineStr"/>
      <c r="I151" s="2" t="inlineStr"/>
      <c r="J151" t="inlineStr"/>
      <c r="K151" s="2" t="inlineStr"/>
      <c r="L151" t="inlineStr"/>
      <c r="M151" s="2" t="inlineStr"/>
      <c r="N151" s="2" t="inlineStr"/>
      <c r="O151" s="2">
        <f>IF(P151=J151,I151,IF(P151=L151,K151,M151))</f>
        <v/>
      </c>
      <c r="P151" s="3">
        <f>MIN(J151,L151,N151)</f>
        <v/>
      </c>
      <c r="Q151">
        <f>G151*P151</f>
        <v/>
      </c>
      <c r="R151">
        <f>IF(ISBLANK(H151),0,G151*H151)</f>
        <v/>
      </c>
      <c r="S151">
        <f>IF(R151=0,0,(R151-Q151)/R151)</f>
        <v/>
      </c>
    </row>
    <row r="152">
      <c r="A152" t="inlineStr">
        <is>
          <t>A6556</t>
        </is>
      </c>
      <c r="B152" t="inlineStr">
        <is>
          <t>S04</t>
        </is>
      </c>
      <c r="C152" t="inlineStr">
        <is>
          <t>GRADIENT COMPRESSION STOCKING, THIGH LENGTH, 18-30 MMHG, CUSTOM, EACH</t>
        </is>
      </c>
      <c r="D152" t="n">
        <v>3</v>
      </c>
      <c r="E152" s="2" t="n">
        <v>302.09</v>
      </c>
      <c r="F152" t="inlineStr"/>
      <c r="G152" s="2" t="inlineStr"/>
      <c r="H152" t="inlineStr"/>
      <c r="I152" s="2" t="inlineStr"/>
      <c r="J152" t="inlineStr"/>
      <c r="K152" s="2" t="inlineStr"/>
      <c r="L152" t="inlineStr"/>
      <c r="M152" s="2" t="inlineStr"/>
      <c r="N152" s="2" t="inlineStr"/>
      <c r="O152" s="2">
        <f>IF(P152=J152,I152,IF(P152=L152,K152,M152))</f>
        <v/>
      </c>
      <c r="P152" s="3">
        <f>MIN(J152,L152,N152)</f>
        <v/>
      </c>
      <c r="Q152">
        <f>G152*P152</f>
        <v/>
      </c>
      <c r="R152">
        <f>IF(ISBLANK(H152),0,G152*H152)</f>
        <v/>
      </c>
      <c r="S152">
        <f>IF(R152=0,0,(R152-Q152)/R152)</f>
        <v/>
      </c>
    </row>
    <row r="153">
      <c r="A153" t="inlineStr">
        <is>
          <t>A6555</t>
        </is>
      </c>
      <c r="B153" t="inlineStr">
        <is>
          <t>S04</t>
        </is>
      </c>
      <c r="C153" t="inlineStr">
        <is>
          <t>GRADIENT COMPRESSION STOCKING, BELOW KNEE, 40 MMHG OR GREATER, CUSTOM, EACH</t>
        </is>
      </c>
      <c r="D153" t="n">
        <v>3</v>
      </c>
      <c r="E153" s="2" t="n">
        <v>220.43</v>
      </c>
      <c r="F153" t="inlineStr"/>
      <c r="G153" s="2" t="inlineStr"/>
      <c r="H153" t="inlineStr"/>
      <c r="I153" s="2" t="inlineStr"/>
      <c r="J153" t="inlineStr"/>
      <c r="K153" s="2" t="inlineStr"/>
      <c r="L153" t="inlineStr"/>
      <c r="M153" s="2" t="inlineStr"/>
      <c r="N153" s="2" t="inlineStr"/>
      <c r="O153" s="2">
        <f>IF(P153=J153,I153,IF(P153=L153,K153,M153))</f>
        <v/>
      </c>
      <c r="P153" s="3">
        <f>MIN(J153,L153,N153)</f>
        <v/>
      </c>
      <c r="Q153">
        <f>G153*P153</f>
        <v/>
      </c>
      <c r="R153">
        <f>IF(ISBLANK(H153),0,G153*H153)</f>
        <v/>
      </c>
      <c r="S153">
        <f>IF(R153=0,0,(R153-Q153)/R153)</f>
        <v/>
      </c>
    </row>
    <row r="154">
      <c r="A154" t="inlineStr">
        <is>
          <t>A6554</t>
        </is>
      </c>
      <c r="B154" t="inlineStr">
        <is>
          <t>S04</t>
        </is>
      </c>
      <c r="C154" t="inlineStr">
        <is>
          <t>GRADIENT COMPRESSION STOCKING, BELOW KNEE, 40 MMHG OR GREATER, EACH</t>
        </is>
      </c>
      <c r="D154" t="n">
        <v>3</v>
      </c>
      <c r="E154" s="2" t="n">
        <v>77.62</v>
      </c>
      <c r="F154" t="inlineStr"/>
      <c r="G154" s="2" t="inlineStr"/>
      <c r="H154" t="inlineStr"/>
      <c r="I154" s="2" t="inlineStr"/>
      <c r="J154" t="inlineStr"/>
      <c r="K154" s="2" t="inlineStr"/>
      <c r="L154" t="inlineStr"/>
      <c r="M154" s="2" t="inlineStr"/>
      <c r="N154" s="2" t="inlineStr"/>
      <c r="O154" s="2">
        <f>IF(P154=J154,I154,IF(P154=L154,K154,M154))</f>
        <v/>
      </c>
      <c r="P154" s="3">
        <f>MIN(J154,L154,N154)</f>
        <v/>
      </c>
      <c r="Q154">
        <f>G154*P154</f>
        <v/>
      </c>
      <c r="R154">
        <f>IF(ISBLANK(H154),0,G154*H154)</f>
        <v/>
      </c>
      <c r="S154">
        <f>IF(R154=0,0,(R154-Q154)/R154)</f>
        <v/>
      </c>
    </row>
    <row r="155">
      <c r="A155" t="inlineStr">
        <is>
          <t>A6606</t>
        </is>
      </c>
      <c r="B155" t="inlineStr">
        <is>
          <t>S04</t>
        </is>
      </c>
      <c r="C155" t="inlineStr">
        <is>
          <t>GRADIENT COMPRESSION BANDAGING SUPPLY, PADDED TEXTILE, PER LINEAR YARD, ANY WIDTH, EACH</t>
        </is>
      </c>
      <c r="D155" t="n">
        <v>3</v>
      </c>
      <c r="E155" s="2" t="n">
        <v>4.55</v>
      </c>
      <c r="F155" t="inlineStr"/>
      <c r="G155" s="2" t="inlineStr"/>
      <c r="H155" t="inlineStr"/>
      <c r="I155" s="2" t="inlineStr"/>
      <c r="J155" t="inlineStr"/>
      <c r="K155" s="2" t="inlineStr"/>
      <c r="L155" t="inlineStr"/>
      <c r="M155" s="2" t="inlineStr"/>
      <c r="N155" s="2" t="inlineStr"/>
      <c r="O155" s="2">
        <f>IF(P155=J155,I155,IF(P155=L155,K155,M155))</f>
        <v/>
      </c>
      <c r="P155" s="3">
        <f>MIN(J155,L155,N155)</f>
        <v/>
      </c>
      <c r="Q155">
        <f>G155*P155</f>
        <v/>
      </c>
      <c r="R155">
        <f>IF(ISBLANK(H155),0,G155*H155)</f>
        <v/>
      </c>
      <c r="S155">
        <f>IF(R155=0,0,(R155-Q155)/R155)</f>
        <v/>
      </c>
    </row>
    <row r="156">
      <c r="A156" t="inlineStr">
        <is>
          <t>A6610</t>
        </is>
      </c>
      <c r="B156" t="inlineStr">
        <is>
          <t>S04</t>
        </is>
      </c>
      <c r="C156" t="inlineStr">
        <is>
          <t>GRADIENT COMPRESSION STOCKING, BELOW KNEE, 18-30 MMHG, CUSTOM, EACH</t>
        </is>
      </c>
      <c r="D156" t="n">
        <v>3</v>
      </c>
      <c r="E156" s="2" t="n">
        <v>220.43</v>
      </c>
      <c r="F156" t="inlineStr"/>
      <c r="G156" s="2" t="inlineStr"/>
      <c r="H156" t="inlineStr"/>
      <c r="I156" s="2" t="inlineStr"/>
      <c r="J156" t="inlineStr"/>
      <c r="K156" s="2" t="inlineStr"/>
      <c r="L156" t="inlineStr"/>
      <c r="M156" s="2" t="inlineStr"/>
      <c r="N156" s="2" t="inlineStr"/>
      <c r="O156" s="2">
        <f>IF(P156=J156,I156,IF(P156=L156,K156,M156))</f>
        <v/>
      </c>
      <c r="P156" s="3">
        <f>MIN(J156,L156,N156)</f>
        <v/>
      </c>
      <c r="Q156">
        <f>G156*P156</f>
        <v/>
      </c>
      <c r="R156">
        <f>IF(ISBLANK(H156),0,G156*H156)</f>
        <v/>
      </c>
      <c r="S156">
        <f>IF(R156=0,0,(R156-Q156)/R156)</f>
        <v/>
      </c>
    </row>
    <row r="157">
      <c r="A157" t="inlineStr">
        <is>
          <t>A6607</t>
        </is>
      </c>
      <c r="B157" t="inlineStr">
        <is>
          <t>S04</t>
        </is>
      </c>
      <c r="C157" t="inlineStr">
        <is>
          <t>GRADIENT COMPRESSION BANDAGING SUPPLY, TUBULAR PROTECTIVE ABSORPTION LAYER, PER LINEAR YARD, ANY WIDTH, EACH</t>
        </is>
      </c>
      <c r="D157" t="n">
        <v>3</v>
      </c>
      <c r="E157" s="2" t="n">
        <v>1.22</v>
      </c>
      <c r="F157" t="inlineStr"/>
      <c r="G157" s="2" t="inlineStr"/>
      <c r="H157" t="inlineStr"/>
      <c r="I157" s="2" t="inlineStr"/>
      <c r="J157" t="inlineStr"/>
      <c r="K157" s="2" t="inlineStr"/>
      <c r="L157" t="inlineStr"/>
      <c r="M157" s="2" t="inlineStr"/>
      <c r="N157" s="2" t="inlineStr"/>
      <c r="O157" s="2">
        <f>IF(P157=J157,I157,IF(P157=L157,K157,M157))</f>
        <v/>
      </c>
      <c r="P157" s="3">
        <f>MIN(J157,L157,N157)</f>
        <v/>
      </c>
      <c r="Q157">
        <f>G157*P157</f>
        <v/>
      </c>
      <c r="R157">
        <f>IF(ISBLANK(H157),0,G157*H157)</f>
        <v/>
      </c>
      <c r="S157">
        <f>IF(R157=0,0,(R157-Q157)/R157)</f>
        <v/>
      </c>
    </row>
    <row r="158">
      <c r="A158" t="inlineStr">
        <is>
          <t>A6608</t>
        </is>
      </c>
      <c r="B158" t="inlineStr">
        <is>
          <t>S04</t>
        </is>
      </c>
      <c r="C158" t="inlineStr">
        <is>
          <t>GRADIENT COMPRESSION BANDAGING SUPPLY, TUBULAR PROTECTIVE ABSORPTION PADDED LAYER, PER LINEAR YARD, ANY WIDTH, EACH</t>
        </is>
      </c>
      <c r="D158" t="n">
        <v>3</v>
      </c>
      <c r="E158" s="2" t="n">
        <v>5.07</v>
      </c>
      <c r="F158" t="inlineStr"/>
      <c r="G158" s="2" t="inlineStr"/>
      <c r="H158" t="inlineStr"/>
      <c r="I158" s="2" t="inlineStr"/>
      <c r="J158" t="inlineStr"/>
      <c r="K158" s="2" t="inlineStr"/>
      <c r="L158" t="inlineStr"/>
      <c r="M158" s="2" t="inlineStr"/>
      <c r="N158" s="2" t="inlineStr"/>
      <c r="O158" s="2">
        <f>IF(P158=J158,I158,IF(P158=L158,K158,M158))</f>
        <v/>
      </c>
      <c r="P158" s="3">
        <f>MIN(J158,L158,N158)</f>
        <v/>
      </c>
      <c r="Q158">
        <f>G158*P158</f>
        <v/>
      </c>
      <c r="R158">
        <f>IF(ISBLANK(H158),0,G158*H158)</f>
        <v/>
      </c>
      <c r="S158">
        <f>IF(R158=0,0,(R158-Q158)/R158)</f>
        <v/>
      </c>
    </row>
    <row r="159">
      <c r="A159" t="inlineStr">
        <is>
          <t>A6600</t>
        </is>
      </c>
      <c r="B159" t="inlineStr">
        <is>
          <t>S04</t>
        </is>
      </c>
      <c r="C159" t="inlineStr">
        <is>
          <t>GRADIENT COMPRESSION BANDAGING SUPPLY, HIGH DENSITY FOAM SHEET, PER 250 SQUARE CENTIMETERS, EACH</t>
        </is>
      </c>
      <c r="D159" t="n">
        <v>3</v>
      </c>
      <c r="E159" s="2" t="n">
        <v>2.99</v>
      </c>
      <c r="F159" t="inlineStr"/>
      <c r="G159" s="2" t="inlineStr"/>
      <c r="H159" t="inlineStr"/>
      <c r="I159" s="2" t="inlineStr"/>
      <c r="J159" t="inlineStr"/>
      <c r="K159" s="2" t="inlineStr"/>
      <c r="L159" t="inlineStr"/>
      <c r="M159" s="2" t="inlineStr"/>
      <c r="N159" s="2" t="inlineStr"/>
      <c r="O159" s="2">
        <f>IF(P159=J159,I159,IF(P159=L159,K159,M159))</f>
        <v/>
      </c>
      <c r="P159" s="3">
        <f>MIN(J159,L159,N159)</f>
        <v/>
      </c>
      <c r="Q159">
        <f>G159*P159</f>
        <v/>
      </c>
      <c r="R159">
        <f>IF(ISBLANK(H159),0,G159*H159)</f>
        <v/>
      </c>
      <c r="S159">
        <f>IF(R159=0,0,(R159-Q159)/R159)</f>
        <v/>
      </c>
    </row>
    <row r="160">
      <c r="A160" t="inlineStr">
        <is>
          <t>A6599</t>
        </is>
      </c>
      <c r="B160" t="inlineStr">
        <is>
          <t>S04</t>
        </is>
      </c>
      <c r="C160" t="inlineStr">
        <is>
          <t>GRADIENT COMPRESSION BANDAGE ROLL, INELASTIC SHORT STRETCH, PER LINEAR YARD, ANY WIDTH, EACH</t>
        </is>
      </c>
      <c r="D160" t="n">
        <v>3</v>
      </c>
      <c r="E160" s="2" t="n">
        <v>1.66</v>
      </c>
      <c r="F160" t="inlineStr"/>
      <c r="G160" s="2" t="inlineStr"/>
      <c r="H160" t="inlineStr"/>
      <c r="I160" s="2" t="inlineStr"/>
      <c r="J160" t="inlineStr"/>
      <c r="K160" s="2" t="inlineStr"/>
      <c r="L160" t="inlineStr"/>
      <c r="M160" s="2" t="inlineStr"/>
      <c r="N160" s="2" t="inlineStr"/>
      <c r="O160" s="2">
        <f>IF(P160=J160,I160,IF(P160=L160,K160,M160))</f>
        <v/>
      </c>
      <c r="P160" s="3">
        <f>MIN(J160,L160,N160)</f>
        <v/>
      </c>
      <c r="Q160">
        <f>G160*P160</f>
        <v/>
      </c>
      <c r="R160">
        <f>IF(ISBLANK(H160),0,G160*H160)</f>
        <v/>
      </c>
      <c r="S160">
        <f>IF(R160=0,0,(R160-Q160)/R160)</f>
        <v/>
      </c>
    </row>
    <row r="161">
      <c r="A161" t="inlineStr">
        <is>
          <t>A6598</t>
        </is>
      </c>
      <c r="B161" t="inlineStr">
        <is>
          <t>S04</t>
        </is>
      </c>
      <c r="C161" t="inlineStr">
        <is>
          <t>GRADIENT COMPRESSION BANDAGE ROLL, ELASTIC MEDIUM STRETCH, PER LINEAR YARD, ANY WIDTH, EACH</t>
        </is>
      </c>
      <c r="D161" t="n">
        <v>3</v>
      </c>
      <c r="E161" s="2" t="n">
        <v>0.73</v>
      </c>
      <c r="F161" t="inlineStr"/>
      <c r="G161" s="2" t="inlineStr"/>
      <c r="H161" t="inlineStr"/>
      <c r="I161" s="2" t="inlineStr"/>
      <c r="J161" t="inlineStr"/>
      <c r="K161" s="2" t="inlineStr"/>
      <c r="L161" t="inlineStr"/>
      <c r="M161" s="2" t="inlineStr"/>
      <c r="N161" s="2" t="inlineStr"/>
      <c r="O161" s="2">
        <f>IF(P161=J161,I161,IF(P161=L161,K161,M161))</f>
        <v/>
      </c>
      <c r="P161" s="3">
        <f>MIN(J161,L161,N161)</f>
        <v/>
      </c>
      <c r="Q161">
        <f>G161*P161</f>
        <v/>
      </c>
      <c r="R161">
        <f>IF(ISBLANK(H161),0,G161*H161)</f>
        <v/>
      </c>
      <c r="S161">
        <f>IF(R161=0,0,(R161-Q161)/R161)</f>
        <v/>
      </c>
    </row>
    <row r="162">
      <c r="A162" t="inlineStr">
        <is>
          <t>A6594</t>
        </is>
      </c>
      <c r="B162" t="inlineStr">
        <is>
          <t>S04</t>
        </is>
      </c>
      <c r="C162" t="inlineStr">
        <is>
          <t>GRADIENT COMPRESSION BANDAGING SUPPLY, BANDAGE LINER, LOWER EXTREMITY, ANY SIZE OR LENGTH, EACH</t>
        </is>
      </c>
      <c r="D162" t="n">
        <v>3</v>
      </c>
      <c r="E162" s="2" t="n">
        <v>34.13</v>
      </c>
      <c r="F162" t="inlineStr"/>
      <c r="G162" s="2" t="inlineStr"/>
      <c r="H162" t="inlineStr"/>
      <c r="I162" s="2" t="inlineStr"/>
      <c r="J162" t="inlineStr"/>
      <c r="K162" s="2" t="inlineStr"/>
      <c r="L162" t="inlineStr"/>
      <c r="M162" s="2" t="inlineStr"/>
      <c r="N162" s="2" t="inlineStr"/>
      <c r="O162" s="2">
        <f>IF(P162=J162,I162,IF(P162=L162,K162,M162))</f>
        <v/>
      </c>
      <c r="P162" s="3">
        <f>MIN(J162,L162,N162)</f>
        <v/>
      </c>
      <c r="Q162">
        <f>G162*P162</f>
        <v/>
      </c>
      <c r="R162">
        <f>IF(ISBLANK(H162),0,G162*H162)</f>
        <v/>
      </c>
      <c r="S162">
        <f>IF(R162=0,0,(R162-Q162)/R162)</f>
        <v/>
      </c>
    </row>
    <row r="163">
      <c r="A163" t="inlineStr">
        <is>
          <t>A6214</t>
        </is>
      </c>
      <c r="B163" t="inlineStr">
        <is>
          <t>S01</t>
        </is>
      </c>
      <c r="C163" t="inlineStr">
        <is>
          <t>FOAM DRESSING, WOUND COVER, STERILE, PAD SIZE MORE THAN 48 SQ. IN., WITH ANY SIZE ADHESIVE BORDER, EACH DRESSING</t>
        </is>
      </c>
      <c r="D163" t="n">
        <v>3</v>
      </c>
      <c r="E163" s="2" t="n">
        <v>14.39</v>
      </c>
      <c r="F163" t="inlineStr"/>
      <c r="G163" s="2" t="inlineStr"/>
      <c r="H163" t="inlineStr"/>
      <c r="I163" s="2" t="inlineStr"/>
      <c r="J163" t="inlineStr"/>
      <c r="K163" s="2" t="inlineStr"/>
      <c r="L163" t="inlineStr"/>
      <c r="M163" s="2" t="inlineStr"/>
      <c r="N163" s="2" t="inlineStr"/>
      <c r="O163" s="2">
        <f>IF(P163=J163,I163,IF(P163=L163,K163,M163))</f>
        <v/>
      </c>
      <c r="P163" s="3">
        <f>MIN(J163,L163,N163)</f>
        <v/>
      </c>
      <c r="Q163">
        <f>G163*P163</f>
        <v/>
      </c>
      <c r="R163">
        <f>IF(ISBLANK(H163),0,G163*H163)</f>
        <v/>
      </c>
      <c r="S163">
        <f>IF(R163=0,0,(R163-Q163)/R163)</f>
        <v/>
      </c>
    </row>
    <row r="164">
      <c r="A164" t="inlineStr">
        <is>
          <t>A6212</t>
        </is>
      </c>
      <c r="B164" t="inlineStr">
        <is>
          <t>S01</t>
        </is>
      </c>
      <c r="C164" t="inlineStr">
        <is>
          <t>FOAM DRESSING, WOUND COVER, STERILE, PAD SIZE 16 SQ. IN. OR LESS, WITH ANY SIZE ADHESIVE BORDER, EACH DRESSING</t>
        </is>
      </c>
      <c r="D164" t="n">
        <v>3</v>
      </c>
      <c r="E164" s="2" t="n">
        <v>13.57</v>
      </c>
      <c r="F164" t="inlineStr"/>
      <c r="G164" s="2" t="inlineStr"/>
      <c r="H164" t="inlineStr"/>
      <c r="I164" s="2" t="inlineStr"/>
      <c r="J164" t="inlineStr"/>
      <c r="K164" s="2" t="inlineStr"/>
      <c r="L164" t="inlineStr"/>
      <c r="M164" s="2" t="inlineStr"/>
      <c r="N164" s="2" t="inlineStr"/>
      <c r="O164" s="2">
        <f>IF(P164=J164,I164,IF(P164=L164,K164,M164))</f>
        <v/>
      </c>
      <c r="P164" s="3">
        <f>MIN(J164,L164,N164)</f>
        <v/>
      </c>
      <c r="Q164">
        <f>G164*P164</f>
        <v/>
      </c>
      <c r="R164">
        <f>IF(ISBLANK(H164),0,G164*H164)</f>
        <v/>
      </c>
      <c r="S164">
        <f>IF(R164=0,0,(R164-Q164)/R164)</f>
        <v/>
      </c>
    </row>
    <row r="165">
      <c r="A165" t="inlineStr">
        <is>
          <t>A6210</t>
        </is>
      </c>
      <c r="B165" t="inlineStr">
        <is>
          <t>S01</t>
        </is>
      </c>
      <c r="C165" t="inlineStr">
        <is>
          <t>FOAM DRESSING, WOUND COVER, STERILE, PAD SIZE MORE THAN 16 SQ. IN. BUT LESS THAN OR EQUAL TO 48 SQ. IN., WITHOUT ADHESIVE BORDER, EACH DRESSING</t>
        </is>
      </c>
      <c r="D165" t="n">
        <v>3</v>
      </c>
      <c r="E165" s="2" t="n">
        <v>27.84</v>
      </c>
      <c r="F165" t="inlineStr"/>
      <c r="G165" s="2" t="inlineStr"/>
      <c r="H165" t="inlineStr"/>
      <c r="I165" s="2" t="inlineStr"/>
      <c r="J165" t="inlineStr"/>
      <c r="K165" s="2" t="inlineStr"/>
      <c r="L165" t="inlineStr"/>
      <c r="M165" s="2" t="inlineStr"/>
      <c r="N165" s="2" t="inlineStr"/>
      <c r="O165" s="2">
        <f>IF(P165=J165,I165,IF(P165=L165,K165,M165))</f>
        <v/>
      </c>
      <c r="P165" s="3">
        <f>MIN(J165,L165,N165)</f>
        <v/>
      </c>
      <c r="Q165">
        <f>G165*P165</f>
        <v/>
      </c>
      <c r="R165">
        <f>IF(ISBLANK(H165),0,G165*H165)</f>
        <v/>
      </c>
      <c r="S165">
        <f>IF(R165=0,0,(R165-Q165)/R165)</f>
        <v/>
      </c>
    </row>
    <row r="166">
      <c r="A166" t="inlineStr">
        <is>
          <t>A6209</t>
        </is>
      </c>
      <c r="B166" t="inlineStr">
        <is>
          <t>S01</t>
        </is>
      </c>
      <c r="C166" t="inlineStr">
        <is>
          <t>FOAM DRESSING, WOUND COVER, STERILE, PAD SIZE 16 SQ. IN. OR LESS, WITHOUT ADHESIVE BORDER, EACH DRESSING</t>
        </is>
      </c>
      <c r="D166" t="n">
        <v>3</v>
      </c>
      <c r="E166" s="2" t="n">
        <v>10.44</v>
      </c>
      <c r="F166" t="inlineStr"/>
      <c r="G166" s="2" t="inlineStr"/>
      <c r="H166" t="inlineStr"/>
      <c r="I166" s="2" t="inlineStr"/>
      <c r="J166" t="inlineStr"/>
      <c r="K166" s="2" t="inlineStr"/>
      <c r="L166" t="inlineStr"/>
      <c r="M166" s="2" t="inlineStr"/>
      <c r="N166" s="2" t="inlineStr"/>
      <c r="O166" s="2">
        <f>IF(P166=J166,I166,IF(P166=L166,K166,M166))</f>
        <v/>
      </c>
      <c r="P166" s="3">
        <f>MIN(J166,L166,N166)</f>
        <v/>
      </c>
      <c r="Q166">
        <f>G166*P166</f>
        <v/>
      </c>
      <c r="R166">
        <f>IF(ISBLANK(H166),0,G166*H166)</f>
        <v/>
      </c>
      <c r="S166">
        <f>IF(R166=0,0,(R166-Q166)/R166)</f>
        <v/>
      </c>
    </row>
    <row r="167">
      <c r="A167" t="inlineStr">
        <is>
          <t>A6207</t>
        </is>
      </c>
      <c r="B167" t="inlineStr">
        <is>
          <t>S01</t>
        </is>
      </c>
      <c r="C167" t="inlineStr">
        <is>
          <t>CONTACT LAYER, STERILE, MORE THAN 16 SQ. IN. BUT LESS THAN OR EQUAL TO 48 SQ. IN., EACH DRESSING</t>
        </is>
      </c>
      <c r="D167" t="n">
        <v>3</v>
      </c>
      <c r="E167" s="2" t="n">
        <v>10.26</v>
      </c>
      <c r="F167" t="inlineStr"/>
      <c r="G167" s="2" t="inlineStr"/>
      <c r="H167" t="inlineStr"/>
      <c r="I167" s="2" t="inlineStr"/>
      <c r="J167" t="inlineStr"/>
      <c r="K167" s="2" t="inlineStr"/>
      <c r="L167" t="inlineStr"/>
      <c r="M167" s="2" t="inlineStr"/>
      <c r="N167" s="2" t="inlineStr"/>
      <c r="O167" s="2">
        <f>IF(P167=J167,I167,IF(P167=L167,K167,M167))</f>
        <v/>
      </c>
      <c r="P167" s="3">
        <f>MIN(J167,L167,N167)</f>
        <v/>
      </c>
      <c r="Q167">
        <f>G167*P167</f>
        <v/>
      </c>
      <c r="R167">
        <f>IF(ISBLANK(H167),0,G167*H167)</f>
        <v/>
      </c>
      <c r="S167">
        <f>IF(R167=0,0,(R167-Q167)/R167)</f>
        <v/>
      </c>
    </row>
    <row r="168">
      <c r="A168" t="inlineStr">
        <is>
          <t>A6204</t>
        </is>
      </c>
      <c r="B168" t="inlineStr">
        <is>
          <t>S01</t>
        </is>
      </c>
      <c r="C168" t="inlineStr">
        <is>
          <t>COMPOSITE DRESSING, STERILE, PAD SIZE MORE THAN 16 SQ. IN. BUT LESS THAN OR EQUAL TO 48 SQ. IN., WITH ANY SIZE ADHESIVE BORDER, EACH DRESSING</t>
        </is>
      </c>
      <c r="D168" t="n">
        <v>3</v>
      </c>
      <c r="E168" s="2" t="n">
        <v>8.69</v>
      </c>
      <c r="F168" t="inlineStr"/>
      <c r="G168" s="2" t="inlineStr"/>
      <c r="H168" t="inlineStr"/>
      <c r="I168" s="2" t="inlineStr"/>
      <c r="J168" t="inlineStr"/>
      <c r="K168" s="2" t="inlineStr"/>
      <c r="L168" t="inlineStr"/>
      <c r="M168" s="2" t="inlineStr"/>
      <c r="N168" s="2" t="inlineStr"/>
      <c r="O168" s="2">
        <f>IF(P168=J168,I168,IF(P168=L168,K168,M168))</f>
        <v/>
      </c>
      <c r="P168" s="3">
        <f>MIN(J168,L168,N168)</f>
        <v/>
      </c>
      <c r="Q168">
        <f>G168*P168</f>
        <v/>
      </c>
      <c r="R168">
        <f>IF(ISBLANK(H168),0,G168*H168)</f>
        <v/>
      </c>
      <c r="S168">
        <f>IF(R168=0,0,(R168-Q168)/R168)</f>
        <v/>
      </c>
    </row>
    <row r="169">
      <c r="A169" t="inlineStr">
        <is>
          <t>A6219</t>
        </is>
      </c>
      <c r="B169" t="inlineStr">
        <is>
          <t>S01</t>
        </is>
      </c>
      <c r="C169" t="inlineStr">
        <is>
          <t>GAUZE, NON-IMPREGNATED, STERILE, PAD SIZE 16 SQ. IN. OR LESS, WITH ANY SIZE ADHESIVE BORDER, EACH DRESSING</t>
        </is>
      </c>
      <c r="D169" t="n">
        <v>3</v>
      </c>
      <c r="E169" s="2" t="n">
        <v>1.33</v>
      </c>
      <c r="F169" t="inlineStr"/>
      <c r="G169" s="2" t="inlineStr"/>
      <c r="H169" t="inlineStr"/>
      <c r="I169" s="2" t="inlineStr"/>
      <c r="J169" t="inlineStr"/>
      <c r="K169" s="2" t="inlineStr"/>
      <c r="L169" t="inlineStr"/>
      <c r="M169" s="2" t="inlineStr"/>
      <c r="N169" s="2" t="inlineStr"/>
      <c r="O169" s="2">
        <f>IF(P169=J169,I169,IF(P169=L169,K169,M169))</f>
        <v/>
      </c>
      <c r="P169" s="3">
        <f>MIN(J169,L169,N169)</f>
        <v/>
      </c>
      <c r="Q169">
        <f>G169*P169</f>
        <v/>
      </c>
      <c r="R169">
        <f>IF(ISBLANK(H169),0,G169*H169)</f>
        <v/>
      </c>
      <c r="S169">
        <f>IF(R169=0,0,(R169-Q169)/R169)</f>
        <v/>
      </c>
    </row>
    <row r="170">
      <c r="A170" t="inlineStr">
        <is>
          <t>A6601</t>
        </is>
      </c>
      <c r="B170" t="inlineStr">
        <is>
          <t>S04</t>
        </is>
      </c>
      <c r="C170" t="inlineStr">
        <is>
          <t>GRADIENT COMPRESSION BANDAGING SUPPLY, HIGH DENSITY FOAM PAD, ANY SIZE OR SHAPE, EACH</t>
        </is>
      </c>
      <c r="D170" t="n">
        <v>3</v>
      </c>
      <c r="E170" s="2" t="n">
        <v>3.36</v>
      </c>
      <c r="F170" t="inlineStr"/>
      <c r="G170" s="2" t="inlineStr"/>
      <c r="H170" t="inlineStr"/>
      <c r="I170" s="2" t="inlineStr"/>
      <c r="J170" t="inlineStr"/>
      <c r="K170" s="2" t="inlineStr"/>
      <c r="L170" t="inlineStr"/>
      <c r="M170" s="2" t="inlineStr"/>
      <c r="N170" s="2" t="inlineStr"/>
      <c r="O170" s="2">
        <f>IF(P170=J170,I170,IF(P170=L170,K170,M170))</f>
        <v/>
      </c>
      <c r="P170" s="3">
        <f>MIN(J170,L170,N170)</f>
        <v/>
      </c>
      <c r="Q170">
        <f>G170*P170</f>
        <v/>
      </c>
      <c r="R170">
        <f>IF(ISBLANK(H170),0,G170*H170)</f>
        <v/>
      </c>
      <c r="S170">
        <f>IF(R170=0,0,(R170-Q170)/R170)</f>
        <v/>
      </c>
    </row>
    <row r="171">
      <c r="A171" t="inlineStr">
        <is>
          <t>E1226</t>
        </is>
      </c>
      <c r="B171" t="inlineStr">
        <is>
          <t>M06A</t>
        </is>
      </c>
      <c r="C171" t="inlineStr">
        <is>
          <t>WHEELCHAIR ACCESSORY, MANUAL FULLY RECLINING BACK, (RECLINE GREATER THAN 80 DEGREES), EACH</t>
        </is>
      </c>
      <c r="D171" t="n">
        <v>3</v>
      </c>
      <c r="E171" s="2" t="n">
        <v>378.26</v>
      </c>
      <c r="F171" t="inlineStr"/>
      <c r="G171" s="2" t="inlineStr"/>
      <c r="H171" t="inlineStr"/>
      <c r="I171" s="2" t="inlineStr"/>
      <c r="J171" t="inlineStr"/>
      <c r="K171" s="2" t="inlineStr"/>
      <c r="L171" t="inlineStr"/>
      <c r="M171" s="2" t="inlineStr"/>
      <c r="N171" s="2" t="inlineStr"/>
      <c r="O171" s="2">
        <f>IF(P171=J171,I171,IF(P171=L171,K171,M171))</f>
        <v/>
      </c>
      <c r="P171" s="3">
        <f>MIN(J171,L171,N171)</f>
        <v/>
      </c>
      <c r="Q171">
        <f>G171*P171</f>
        <v/>
      </c>
      <c r="R171">
        <f>IF(ISBLANK(H171),0,G171*H171)</f>
        <v/>
      </c>
      <c r="S171">
        <f>IF(R171=0,0,(R171-Q171)/R171)</f>
        <v/>
      </c>
    </row>
    <row r="172">
      <c r="A172" t="inlineStr">
        <is>
          <t>E1015</t>
        </is>
      </c>
      <c r="B172" t="inlineStr">
        <is>
          <t>M06A</t>
        </is>
      </c>
      <c r="C172" t="inlineStr">
        <is>
          <t>SHOCK ABSORBER FOR MANUAL WHEELCHAIR, EACH</t>
        </is>
      </c>
      <c r="D172" t="n">
        <v>3</v>
      </c>
      <c r="E172" s="2" t="n">
        <v>121.15</v>
      </c>
      <c r="F172" t="inlineStr"/>
      <c r="G172" s="2" t="inlineStr"/>
      <c r="H172" t="inlineStr"/>
      <c r="I172" s="2" t="inlineStr"/>
      <c r="J172" t="inlineStr"/>
      <c r="K172" s="2" t="inlineStr"/>
      <c r="L172" t="inlineStr"/>
      <c r="M172" s="2" t="inlineStr"/>
      <c r="N172" s="2" t="inlineStr"/>
      <c r="O172" s="2">
        <f>IF(P172=J172,I172,IF(P172=L172,K172,M172))</f>
        <v/>
      </c>
      <c r="P172" s="3">
        <f>MIN(J172,L172,N172)</f>
        <v/>
      </c>
      <c r="Q172">
        <f>G172*P172</f>
        <v/>
      </c>
      <c r="R172">
        <f>IF(ISBLANK(H172),0,G172*H172)</f>
        <v/>
      </c>
      <c r="S172">
        <f>IF(R172=0,0,(R172-Q172)/R172)</f>
        <v/>
      </c>
    </row>
    <row r="173">
      <c r="A173" t="inlineStr">
        <is>
          <t>E2206</t>
        </is>
      </c>
      <c r="B173" t="inlineStr">
        <is>
          <t>M06A</t>
        </is>
      </c>
      <c r="C173" t="inlineStr">
        <is>
          <t>MANUAL WHEELCHAIR ACCESSORY, WHEEL LOCK ASSEMBLY, COMPLETE, REPLACEMENT ONLY, EACH</t>
        </is>
      </c>
      <c r="D173" t="n">
        <v>3</v>
      </c>
      <c r="E173" s="2" t="n">
        <v>38.72</v>
      </c>
      <c r="F173" t="inlineStr"/>
      <c r="G173" s="2" t="inlineStr"/>
      <c r="H173" t="inlineStr"/>
      <c r="I173" s="2" t="inlineStr"/>
      <c r="J173" t="inlineStr"/>
      <c r="K173" s="2" t="inlineStr"/>
      <c r="L173" t="inlineStr"/>
      <c r="M173" s="2" t="inlineStr"/>
      <c r="N173" s="2" t="inlineStr"/>
      <c r="O173" s="2">
        <f>IF(P173=J173,I173,IF(P173=L173,K173,M173))</f>
        <v/>
      </c>
      <c r="P173" s="3">
        <f>MIN(J173,L173,N173)</f>
        <v/>
      </c>
      <c r="Q173">
        <f>G173*P173</f>
        <v/>
      </c>
      <c r="R173">
        <f>IF(ISBLANK(H173),0,G173*H173)</f>
        <v/>
      </c>
      <c r="S173">
        <f>IF(R173=0,0,(R173-Q173)/R173)</f>
        <v/>
      </c>
    </row>
    <row r="174">
      <c r="A174" t="inlineStr">
        <is>
          <t>E2205</t>
        </is>
      </c>
      <c r="B174" t="inlineStr">
        <is>
          <t>M06A</t>
        </is>
      </c>
      <c r="C174" t="inlineStr">
        <is>
          <t>MANUAL WHEELCHAIR ACCESSORY, HANDRIM WITHOUT PROJECTIONS (INCLUDES ERGONOMIC OR CONTOURED), ANY TYPE, REPLACEMENT ONLY, EACH</t>
        </is>
      </c>
      <c r="D174" t="n">
        <v>3</v>
      </c>
      <c r="E174" s="2" t="n">
        <v>36.22</v>
      </c>
      <c r="F174" t="inlineStr"/>
      <c r="G174" s="2" t="inlineStr"/>
      <c r="H174" t="inlineStr"/>
      <c r="I174" s="2" t="inlineStr"/>
      <c r="J174" t="inlineStr"/>
      <c r="K174" s="2" t="inlineStr"/>
      <c r="L174" t="inlineStr"/>
      <c r="M174" s="2" t="inlineStr"/>
      <c r="N174" s="2" t="inlineStr"/>
      <c r="O174" s="2">
        <f>IF(P174=J174,I174,IF(P174=L174,K174,M174))</f>
        <v/>
      </c>
      <c r="P174" s="3">
        <f>MIN(J174,L174,N174)</f>
        <v/>
      </c>
      <c r="Q174">
        <f>G174*P174</f>
        <v/>
      </c>
      <c r="R174">
        <f>IF(ISBLANK(H174),0,G174*H174)</f>
        <v/>
      </c>
      <c r="S174">
        <f>IF(R174=0,0,(R174-Q174)/R174)</f>
        <v/>
      </c>
    </row>
    <row r="175">
      <c r="A175" t="inlineStr">
        <is>
          <t>K0070</t>
        </is>
      </c>
      <c r="B175" t="inlineStr">
        <is>
          <t>M06A</t>
        </is>
      </c>
      <c r="C175" t="inlineStr">
        <is>
          <t>REAR WHEEL ASSEMBLY, COMPLETE, WITH PNEUMATIC TIRE, SPOKES OR MOLDED, REPLACEMENT ONLY, EACH</t>
        </is>
      </c>
      <c r="D175" t="n">
        <v>3</v>
      </c>
      <c r="E175" s="2" t="n">
        <v>16.42</v>
      </c>
      <c r="F175" t="inlineStr"/>
      <c r="G175" s="2" t="inlineStr"/>
      <c r="H175" t="inlineStr"/>
      <c r="I175" s="2" t="inlineStr"/>
      <c r="J175" t="inlineStr"/>
      <c r="K175" s="2" t="inlineStr"/>
      <c r="L175" t="inlineStr"/>
      <c r="M175" s="2" t="inlineStr"/>
      <c r="N175" s="2" t="inlineStr"/>
      <c r="O175" s="2">
        <f>IF(P175=J175,I175,IF(P175=L175,K175,M175))</f>
        <v/>
      </c>
      <c r="P175" s="3">
        <f>MIN(J175,L175,N175)</f>
        <v/>
      </c>
      <c r="Q175">
        <f>G175*P175</f>
        <v/>
      </c>
      <c r="R175">
        <f>IF(ISBLANK(H175),0,G175*H175)</f>
        <v/>
      </c>
      <c r="S175">
        <f>IF(R175=0,0,(R175-Q175)/R175)</f>
        <v/>
      </c>
    </row>
    <row r="176">
      <c r="A176" t="inlineStr">
        <is>
          <t>K0069</t>
        </is>
      </c>
      <c r="B176" t="inlineStr">
        <is>
          <t>M06A</t>
        </is>
      </c>
      <c r="C176" t="inlineStr">
        <is>
          <t>REAR WHEEL ASSEMBLY, COMPLETE, WITH SOLID TIRE, SPOKES OR MOLDED, REPLACEMENT ONLY, EACH</t>
        </is>
      </c>
      <c r="D176" t="n">
        <v>3</v>
      </c>
      <c r="E176" s="2" t="n">
        <v>98.59</v>
      </c>
      <c r="F176" t="inlineStr"/>
      <c r="G176" s="2" t="inlineStr"/>
      <c r="H176" t="inlineStr"/>
      <c r="I176" s="2" t="inlineStr"/>
      <c r="J176" t="inlineStr"/>
      <c r="K176" s="2" t="inlineStr"/>
      <c r="L176" t="inlineStr"/>
      <c r="M176" s="2" t="inlineStr"/>
      <c r="N176" s="2" t="inlineStr"/>
      <c r="O176" s="2">
        <f>IF(P176=J176,I176,IF(P176=L176,K176,M176))</f>
        <v/>
      </c>
      <c r="P176" s="3">
        <f>MIN(J176,L176,N176)</f>
        <v/>
      </c>
      <c r="Q176">
        <f>G176*P176</f>
        <v/>
      </c>
      <c r="R176">
        <f>IF(ISBLANK(H176),0,G176*H176)</f>
        <v/>
      </c>
      <c r="S176">
        <f>IF(R176=0,0,(R176-Q176)/R176)</f>
        <v/>
      </c>
    </row>
    <row r="177">
      <c r="A177" t="inlineStr">
        <is>
          <t>K0056</t>
        </is>
      </c>
      <c r="B177" t="inlineStr">
        <is>
          <t>M06A</t>
        </is>
      </c>
      <c r="C177" t="inlineStr">
        <is>
          <t>SEAT HEIGHT LESS THAN 17" OR EQUAL TO OR GREATER THAN 21" FOR A HIGH STRENGTH, LIGHTWEIGHT, OR ULTRALIGHTWEIGHT WHEELCHAIR</t>
        </is>
      </c>
      <c r="D177" t="n">
        <v>3</v>
      </c>
      <c r="E177" s="2" t="n">
        <v>97.15000000000001</v>
      </c>
      <c r="F177" t="inlineStr"/>
      <c r="G177" s="2" t="inlineStr"/>
      <c r="H177" t="inlineStr"/>
      <c r="I177" s="2" t="inlineStr"/>
      <c r="J177" t="inlineStr"/>
      <c r="K177" s="2" t="inlineStr"/>
      <c r="L177" t="inlineStr"/>
      <c r="M177" s="2" t="inlineStr"/>
      <c r="N177" s="2" t="inlineStr"/>
      <c r="O177" s="2">
        <f>IF(P177=J177,I177,IF(P177=L177,K177,M177))</f>
        <v/>
      </c>
      <c r="P177" s="3">
        <f>MIN(J177,L177,N177)</f>
        <v/>
      </c>
      <c r="Q177">
        <f>G177*P177</f>
        <v/>
      </c>
      <c r="R177">
        <f>IF(ISBLANK(H177),0,G177*H177)</f>
        <v/>
      </c>
      <c r="S177">
        <f>IF(R177=0,0,(R177-Q177)/R177)</f>
        <v/>
      </c>
    </row>
    <row r="178">
      <c r="A178" t="inlineStr">
        <is>
          <t>K0053</t>
        </is>
      </c>
      <c r="B178" t="inlineStr">
        <is>
          <t>M06A</t>
        </is>
      </c>
      <c r="C178" t="inlineStr">
        <is>
          <t>ELEVATING FOOTRESTS, ARTICULATING (TELESCOPING), EACH</t>
        </is>
      </c>
      <c r="D178" t="n">
        <v>3</v>
      </c>
      <c r="E178" s="2" t="n">
        <v>90.23</v>
      </c>
      <c r="F178" t="inlineStr"/>
      <c r="G178" s="2" t="inlineStr"/>
      <c r="H178" t="inlineStr"/>
      <c r="I178" s="2" t="inlineStr"/>
      <c r="J178" t="inlineStr"/>
      <c r="K178" s="2" t="inlineStr"/>
      <c r="L178" t="inlineStr"/>
      <c r="M178" s="2" t="inlineStr"/>
      <c r="N178" s="2" t="inlineStr"/>
      <c r="O178" s="2">
        <f>IF(P178=J178,I178,IF(P178=L178,K178,M178))</f>
        <v/>
      </c>
      <c r="P178" s="3">
        <f>MIN(J178,L178,N178)</f>
        <v/>
      </c>
      <c r="Q178">
        <f>G178*P178</f>
        <v/>
      </c>
      <c r="R178">
        <f>IF(ISBLANK(H178),0,G178*H178)</f>
        <v/>
      </c>
      <c r="S178">
        <f>IF(R178=0,0,(R178-Q178)/R178)</f>
        <v/>
      </c>
    </row>
    <row r="179">
      <c r="A179" t="inlineStr">
        <is>
          <t>A6443</t>
        </is>
      </c>
      <c r="B179" t="inlineStr">
        <is>
          <t>S01</t>
        </is>
      </c>
      <c r="C179" t="inlineStr">
        <is>
          <t>CONFORMING BANDAGE, NON-ELASTIC, KNITTED/WOVEN, NON-STERILE, WIDTH GREATER THAN OR EQUAL TO THREE INCHES AND LESS THAN FIVE INCHES, PER YARD</t>
        </is>
      </c>
      <c r="D179" t="n">
        <v>3</v>
      </c>
      <c r="E179" s="2" t="n">
        <v>0.39</v>
      </c>
      <c r="F179" t="inlineStr"/>
      <c r="G179" s="2" t="inlineStr"/>
      <c r="H179" t="inlineStr"/>
      <c r="I179" s="2" t="inlineStr"/>
      <c r="J179" t="inlineStr"/>
      <c r="K179" s="2" t="inlineStr"/>
      <c r="L179" t="inlineStr"/>
      <c r="M179" s="2" t="inlineStr"/>
      <c r="N179" s="2" t="inlineStr"/>
      <c r="O179" s="2">
        <f>IF(P179=J179,I179,IF(P179=L179,K179,M179))</f>
        <v/>
      </c>
      <c r="P179" s="3">
        <f>MIN(J179,L179,N179)</f>
        <v/>
      </c>
      <c r="Q179">
        <f>G179*P179</f>
        <v/>
      </c>
      <c r="R179">
        <f>IF(ISBLANK(H179),0,G179*H179)</f>
        <v/>
      </c>
      <c r="S179">
        <f>IF(R179=0,0,(R179-Q179)/R179)</f>
        <v/>
      </c>
    </row>
    <row r="180">
      <c r="A180" t="inlineStr">
        <is>
          <t>A6538</t>
        </is>
      </c>
      <c r="B180" t="inlineStr">
        <is>
          <t>S01</t>
        </is>
      </c>
      <c r="C180" t="inlineStr">
        <is>
          <t>GRADIENT COMPRESSION STOCKING, FULL LENGTH/CHAP STYLE, 40 MMHG OR GREATER, EACH</t>
        </is>
      </c>
      <c r="D180" t="n">
        <v>3</v>
      </c>
      <c r="E180" s="2" t="n">
        <v>99.95</v>
      </c>
      <c r="F180" t="inlineStr"/>
      <c r="G180" s="2" t="inlineStr"/>
      <c r="H180" t="inlineStr"/>
      <c r="I180" s="2" t="inlineStr"/>
      <c r="J180" t="inlineStr"/>
      <c r="K180" s="2" t="inlineStr"/>
      <c r="L180" t="inlineStr"/>
      <c r="M180" s="2" t="inlineStr"/>
      <c r="N180" s="2" t="inlineStr"/>
      <c r="O180" s="2">
        <f>IF(P180=J180,I180,IF(P180=L180,K180,M180))</f>
        <v/>
      </c>
      <c r="P180" s="3">
        <f>MIN(J180,L180,N180)</f>
        <v/>
      </c>
      <c r="Q180">
        <f>G180*P180</f>
        <v/>
      </c>
      <c r="R180">
        <f>IF(ISBLANK(H180),0,G180*H180)</f>
        <v/>
      </c>
      <c r="S180">
        <f>IF(R180=0,0,(R180-Q180)/R180)</f>
        <v/>
      </c>
    </row>
    <row r="181">
      <c r="A181" t="inlineStr">
        <is>
          <t>A6537</t>
        </is>
      </c>
      <c r="B181" t="inlineStr">
        <is>
          <t>S01</t>
        </is>
      </c>
      <c r="C181" t="inlineStr">
        <is>
          <t>GRADIENT COMPRESSION STOCKING, FULL LENGTH/CHAP STYLE, 30-40 MMHG, EACH</t>
        </is>
      </c>
      <c r="D181" t="n">
        <v>3</v>
      </c>
      <c r="E181" s="2" t="n">
        <v>85.37</v>
      </c>
      <c r="F181" t="inlineStr"/>
      <c r="G181" s="2" t="inlineStr"/>
      <c r="H181" t="inlineStr"/>
      <c r="I181" s="2" t="inlineStr"/>
      <c r="J181" t="inlineStr"/>
      <c r="K181" s="2" t="inlineStr"/>
      <c r="L181" t="inlineStr"/>
      <c r="M181" s="2" t="inlineStr"/>
      <c r="N181" s="2" t="inlineStr"/>
      <c r="O181" s="2">
        <f>IF(P181=J181,I181,IF(P181=L181,K181,M181))</f>
        <v/>
      </c>
      <c r="P181" s="3">
        <f>MIN(J181,L181,N181)</f>
        <v/>
      </c>
      <c r="Q181">
        <f>G181*P181</f>
        <v/>
      </c>
      <c r="R181">
        <f>IF(ISBLANK(H181),0,G181*H181)</f>
        <v/>
      </c>
      <c r="S181">
        <f>IF(R181=0,0,(R181-Q181)/R181)</f>
        <v/>
      </c>
    </row>
    <row r="182">
      <c r="A182" t="inlineStr">
        <is>
          <t>A6259</t>
        </is>
      </c>
      <c r="B182" t="inlineStr">
        <is>
          <t>S01</t>
        </is>
      </c>
      <c r="C182" t="inlineStr">
        <is>
          <t>TRANSPARENT FILM, STERILE, MORE THAN 48 SQ. IN., EACH DRESSING</t>
        </is>
      </c>
      <c r="D182" t="n">
        <v>3</v>
      </c>
      <c r="E182" s="2" t="n">
        <v>15.28</v>
      </c>
      <c r="F182" t="inlineStr"/>
      <c r="G182" s="2" t="inlineStr"/>
      <c r="H182" t="inlineStr"/>
      <c r="I182" s="2" t="inlineStr"/>
      <c r="J182" t="inlineStr"/>
      <c r="K182" s="2" t="inlineStr"/>
      <c r="L182" t="inlineStr"/>
      <c r="M182" s="2" t="inlineStr"/>
      <c r="N182" s="2" t="inlineStr"/>
      <c r="O182" s="2">
        <f>IF(P182=J182,I182,IF(P182=L182,K182,M182))</f>
        <v/>
      </c>
      <c r="P182" s="3">
        <f>MIN(J182,L182,N182)</f>
        <v/>
      </c>
      <c r="Q182">
        <f>G182*P182</f>
        <v/>
      </c>
      <c r="R182">
        <f>IF(ISBLANK(H182),0,G182*H182)</f>
        <v/>
      </c>
      <c r="S182">
        <f>IF(R182=0,0,(R182-Q182)/R182)</f>
        <v/>
      </c>
    </row>
    <row r="183">
      <c r="A183" t="inlineStr">
        <is>
          <t>A6407</t>
        </is>
      </c>
      <c r="B183" t="inlineStr">
        <is>
          <t>S01</t>
        </is>
      </c>
      <c r="C183" t="inlineStr">
        <is>
          <t>PACKING STRIPS, NON-IMPREGNATED, STERILE, UP TO 2 INCHES IN WIDTH, PER LINEAR YARD</t>
        </is>
      </c>
      <c r="D183" t="n">
        <v>3</v>
      </c>
      <c r="E183" s="2" t="n">
        <v>2.61</v>
      </c>
      <c r="F183" t="inlineStr"/>
      <c r="G183" s="2" t="inlineStr"/>
      <c r="H183" t="inlineStr"/>
      <c r="I183" s="2" t="inlineStr"/>
      <c r="J183" t="inlineStr"/>
      <c r="K183" s="2" t="inlineStr"/>
      <c r="L183" t="inlineStr"/>
      <c r="M183" s="2" t="inlineStr"/>
      <c r="N183" s="2" t="inlineStr"/>
      <c r="O183" s="2">
        <f>IF(P183=J183,I183,IF(P183=L183,K183,M183))</f>
        <v/>
      </c>
      <c r="P183" s="3">
        <f>MIN(J183,L183,N183)</f>
        <v/>
      </c>
      <c r="Q183">
        <f>G183*P183</f>
        <v/>
      </c>
      <c r="R183">
        <f>IF(ISBLANK(H183),0,G183*H183)</f>
        <v/>
      </c>
      <c r="S183">
        <f>IF(R183=0,0,(R183-Q183)/R183)</f>
        <v/>
      </c>
    </row>
    <row r="184">
      <c r="A184" t="inlineStr">
        <is>
          <t>A6596</t>
        </is>
      </c>
      <c r="B184" t="inlineStr">
        <is>
          <t>S04</t>
        </is>
      </c>
      <c r="C184" t="inlineStr">
        <is>
          <t>GRADIENT COMPRESSION BANDAGING SUPPLY, CONFORMING GAUZE, PER LINEAR YARD, ANY WIDTH, EACH</t>
        </is>
      </c>
      <c r="D184" t="n">
        <v>3</v>
      </c>
      <c r="E184" s="2" t="n">
        <v>0.18</v>
      </c>
      <c r="F184" t="inlineStr"/>
      <c r="G184" s="2" t="inlineStr"/>
      <c r="H184" t="inlineStr"/>
      <c r="I184" s="2" t="inlineStr"/>
      <c r="J184" t="inlineStr"/>
      <c r="K184" s="2" t="inlineStr"/>
      <c r="L184" t="inlineStr"/>
      <c r="M184" s="2" t="inlineStr"/>
      <c r="N184" s="2" t="inlineStr"/>
      <c r="O184" s="2">
        <f>IF(P184=J184,I184,IF(P184=L184,K184,M184))</f>
        <v/>
      </c>
      <c r="P184" s="3">
        <f>MIN(J184,L184,N184)</f>
        <v/>
      </c>
      <c r="Q184">
        <f>G184*P184</f>
        <v/>
      </c>
      <c r="R184">
        <f>IF(ISBLANK(H184),0,G184*H184)</f>
        <v/>
      </c>
      <c r="S184">
        <f>IF(R184=0,0,(R184-Q184)/R184)</f>
        <v/>
      </c>
    </row>
    <row r="185">
      <c r="A185" t="inlineStr">
        <is>
          <t>A6597</t>
        </is>
      </c>
      <c r="B185" t="inlineStr">
        <is>
          <t>S04</t>
        </is>
      </c>
      <c r="C185" t="inlineStr">
        <is>
          <t>GRADIENT COMPRESSION BANDAGE ROLL, ELASTIC LONG STRETCH, LINEAR YARD, ANY WIDTH, EACH</t>
        </is>
      </c>
      <c r="D185" t="n">
        <v>3</v>
      </c>
      <c r="E185" s="2" t="n">
        <v>1.51</v>
      </c>
      <c r="F185" t="inlineStr"/>
      <c r="G185" s="2" t="inlineStr"/>
      <c r="H185" t="inlineStr"/>
      <c r="I185" s="2" t="inlineStr"/>
      <c r="J185" t="inlineStr"/>
      <c r="K185" s="2" t="inlineStr"/>
      <c r="L185" t="inlineStr"/>
      <c r="M185" s="2" t="inlineStr"/>
      <c r="N185" s="2" t="inlineStr"/>
      <c r="O185" s="2">
        <f>IF(P185=J185,I185,IF(P185=L185,K185,M185))</f>
        <v/>
      </c>
      <c r="P185" s="3">
        <f>MIN(J185,L185,N185)</f>
        <v/>
      </c>
      <c r="Q185">
        <f>G185*P185</f>
        <v/>
      </c>
      <c r="R185">
        <f>IF(ISBLANK(H185),0,G185*H185)</f>
        <v/>
      </c>
      <c r="S185">
        <f>IF(R185=0,0,(R185-Q185)/R185)</f>
        <v/>
      </c>
    </row>
    <row r="186">
      <c r="A186" t="inlineStr">
        <is>
          <t>A6245</t>
        </is>
      </c>
      <c r="B186" t="inlineStr">
        <is>
          <t>S01</t>
        </is>
      </c>
      <c r="C186" t="inlineStr">
        <is>
          <t>HYDROGEL DRESSING, WOUND COVER, STERILE, PAD SIZE 16 SQ. IN. OR LESS, WITH ANY SIZE ADHESIVE BORDER, EACH DRESSING</t>
        </is>
      </c>
      <c r="D186" t="n">
        <v>3</v>
      </c>
      <c r="E186" s="2" t="n">
        <v>10.16</v>
      </c>
      <c r="F186" t="inlineStr"/>
      <c r="G186" s="2" t="inlineStr"/>
      <c r="H186" t="inlineStr"/>
      <c r="I186" s="2" t="inlineStr"/>
      <c r="J186" t="inlineStr"/>
      <c r="K186" s="2" t="inlineStr"/>
      <c r="L186" t="inlineStr"/>
      <c r="M186" s="2" t="inlineStr"/>
      <c r="N186" s="2" t="inlineStr"/>
      <c r="O186" s="2">
        <f>IF(P186=J186,I186,IF(P186=L186,K186,M186))</f>
        <v/>
      </c>
      <c r="P186" s="3">
        <f>MIN(J186,L186,N186)</f>
        <v/>
      </c>
      <c r="Q186">
        <f>G186*P186</f>
        <v/>
      </c>
      <c r="R186">
        <f>IF(ISBLANK(H186),0,G186*H186)</f>
        <v/>
      </c>
      <c r="S186">
        <f>IF(R186=0,0,(R186-Q186)/R186)</f>
        <v/>
      </c>
    </row>
    <row r="187">
      <c r="A187" t="inlineStr">
        <is>
          <t>A6586</t>
        </is>
      </c>
      <c r="B187" t="inlineStr">
        <is>
          <t>S04</t>
        </is>
      </c>
      <c r="C187" t="inlineStr">
        <is>
          <t>GRADIENT COMPRESSION WRAP WITH ADJUSTABLE STRAPS, FULL LEG, EACH</t>
        </is>
      </c>
      <c r="D187" t="n">
        <v>3</v>
      </c>
      <c r="E187" s="2" t="n">
        <v>543.9</v>
      </c>
      <c r="F187" t="inlineStr"/>
      <c r="G187" s="2" t="inlineStr"/>
      <c r="H187" t="inlineStr"/>
      <c r="I187" s="2" t="inlineStr"/>
      <c r="J187" t="inlineStr"/>
      <c r="K187" s="2" t="inlineStr"/>
      <c r="L187" t="inlineStr"/>
      <c r="M187" s="2" t="inlineStr"/>
      <c r="N187" s="2" t="inlineStr"/>
      <c r="O187" s="2">
        <f>IF(P187=J187,I187,IF(P187=L187,K187,M187))</f>
        <v/>
      </c>
      <c r="P187" s="3">
        <f>MIN(J187,L187,N187)</f>
        <v/>
      </c>
      <c r="Q187">
        <f>G187*P187</f>
        <v/>
      </c>
      <c r="R187">
        <f>IF(ISBLANK(H187),0,G187*H187)</f>
        <v/>
      </c>
      <c r="S187">
        <f>IF(R187=0,0,(R187-Q187)/R187)</f>
        <v/>
      </c>
    </row>
    <row r="188">
      <c r="A188" t="inlineStr">
        <is>
          <t>A6585</t>
        </is>
      </c>
      <c r="B188" t="inlineStr">
        <is>
          <t>S04</t>
        </is>
      </c>
      <c r="C188" t="inlineStr">
        <is>
          <t>GRADIENT COMPRESSION WRAP WITH ADJUSTABLE STRAPS, ABOVE KNEE, EACH</t>
        </is>
      </c>
      <c r="D188" t="n">
        <v>3</v>
      </c>
      <c r="E188" s="2" t="n">
        <v>184.62</v>
      </c>
      <c r="F188" t="inlineStr"/>
      <c r="G188" s="2" t="inlineStr"/>
      <c r="H188" t="inlineStr"/>
      <c r="I188" s="2" t="inlineStr"/>
      <c r="J188" t="inlineStr"/>
      <c r="K188" s="2" t="inlineStr"/>
      <c r="L188" t="inlineStr"/>
      <c r="M188" s="2" t="inlineStr"/>
      <c r="N188" s="2" t="inlineStr"/>
      <c r="O188" s="2">
        <f>IF(P188=J188,I188,IF(P188=L188,K188,M188))</f>
        <v/>
      </c>
      <c r="P188" s="3">
        <f>MIN(J188,L188,N188)</f>
        <v/>
      </c>
      <c r="Q188">
        <f>G188*P188</f>
        <v/>
      </c>
      <c r="R188">
        <f>IF(ISBLANK(H188),0,G188*H188)</f>
        <v/>
      </c>
      <c r="S188">
        <f>IF(R188=0,0,(R188-Q188)/R188)</f>
        <v/>
      </c>
    </row>
    <row r="189">
      <c r="A189" t="inlineStr">
        <is>
          <t>A6602</t>
        </is>
      </c>
      <c r="B189" t="inlineStr">
        <is>
          <t>S04</t>
        </is>
      </c>
      <c r="C189" t="inlineStr">
        <is>
          <t>GRADIENT COMPRESSION BANDAGING SUPPLY, HIGH DENSITY FOAM ROLL FOR BANDAGE, PER LINEAR YARD, ANY WIDTH, EACH</t>
        </is>
      </c>
      <c r="D189" t="n">
        <v>3</v>
      </c>
      <c r="E189" s="2" t="n">
        <v>4.9</v>
      </c>
      <c r="F189" t="inlineStr"/>
      <c r="G189" s="2" t="inlineStr"/>
      <c r="H189" t="inlineStr"/>
      <c r="I189" s="2" t="inlineStr"/>
      <c r="J189" t="inlineStr"/>
      <c r="K189" s="2" t="inlineStr"/>
      <c r="L189" t="inlineStr"/>
      <c r="M189" s="2" t="inlineStr"/>
      <c r="N189" s="2" t="inlineStr"/>
      <c r="O189" s="2">
        <f>IF(P189=J189,I189,IF(P189=L189,K189,M189))</f>
        <v/>
      </c>
      <c r="P189" s="3">
        <f>MIN(J189,L189,N189)</f>
        <v/>
      </c>
      <c r="Q189">
        <f>G189*P189</f>
        <v/>
      </c>
      <c r="R189">
        <f>IF(ISBLANK(H189),0,G189*H189)</f>
        <v/>
      </c>
      <c r="S189">
        <f>IF(R189=0,0,(R189-Q189)/R189)</f>
        <v/>
      </c>
    </row>
    <row r="190">
      <c r="A190" t="inlineStr">
        <is>
          <t>A6199</t>
        </is>
      </c>
      <c r="B190" t="inlineStr">
        <is>
          <t>S01</t>
        </is>
      </c>
      <c r="C190" t="inlineStr">
        <is>
          <t>ALGINATE OR OTHER FIBER GELLING DRESSING, WOUND FILLER, STERILE, PER 6 INCHES</t>
        </is>
      </c>
      <c r="D190" t="n">
        <v>3</v>
      </c>
      <c r="E190" s="2" t="n">
        <v>7.37</v>
      </c>
      <c r="F190" t="inlineStr"/>
      <c r="G190" s="2" t="inlineStr"/>
      <c r="H190" t="inlineStr"/>
      <c r="I190" s="2" t="inlineStr"/>
      <c r="J190" t="inlineStr"/>
      <c r="K190" s="2" t="inlineStr"/>
      <c r="L190" t="inlineStr"/>
      <c r="M190" s="2" t="inlineStr"/>
      <c r="N190" s="2" t="inlineStr"/>
      <c r="O190" s="2">
        <f>IF(P190=J190,I190,IF(P190=L190,K190,M190))</f>
        <v/>
      </c>
      <c r="P190" s="3">
        <f>MIN(J190,L190,N190)</f>
        <v/>
      </c>
      <c r="Q190">
        <f>G190*P190</f>
        <v/>
      </c>
      <c r="R190">
        <f>IF(ISBLANK(H190),0,G190*H190)</f>
        <v/>
      </c>
      <c r="S190">
        <f>IF(R190=0,0,(R190-Q190)/R190)</f>
        <v/>
      </c>
    </row>
    <row r="191">
      <c r="A191" t="inlineStr">
        <is>
          <t>A6254</t>
        </is>
      </c>
      <c r="B191" t="inlineStr">
        <is>
          <t>S01</t>
        </is>
      </c>
      <c r="C191" t="inlineStr">
        <is>
          <t>SPECIALTY ABSORPTIVE DRESSING, WOUND COVER, STERILE, PAD SIZE 16 SQ. IN. OR LESS, WITH ANY SIZE ADHESIVE BORDER, EACH DRESSING</t>
        </is>
      </c>
      <c r="D191" t="n">
        <v>3</v>
      </c>
      <c r="E191" s="2" t="n">
        <v>1.67</v>
      </c>
      <c r="F191" t="inlineStr"/>
      <c r="G191" s="2" t="inlineStr"/>
      <c r="H191" t="inlineStr"/>
      <c r="I191" s="2" t="inlineStr"/>
      <c r="J191" t="inlineStr"/>
      <c r="K191" s="2" t="inlineStr"/>
      <c r="L191" t="inlineStr"/>
      <c r="M191" s="2" t="inlineStr"/>
      <c r="N191" s="2" t="inlineStr"/>
      <c r="O191" s="2">
        <f>IF(P191=J191,I191,IF(P191=L191,K191,M191))</f>
        <v/>
      </c>
      <c r="P191" s="3">
        <f>MIN(J191,L191,N191)</f>
        <v/>
      </c>
      <c r="Q191">
        <f>G191*P191</f>
        <v/>
      </c>
      <c r="R191">
        <f>IF(ISBLANK(H191),0,G191*H191)</f>
        <v/>
      </c>
      <c r="S191">
        <f>IF(R191=0,0,(R191-Q191)/R191)</f>
        <v/>
      </c>
    </row>
    <row r="192">
      <c r="A192" t="inlineStr">
        <is>
          <t>A6255</t>
        </is>
      </c>
      <c r="B192" t="inlineStr">
        <is>
          <t>S01</t>
        </is>
      </c>
      <c r="C192" t="inlineStr">
        <is>
          <t>SPECIALTY ABSORPTIVE DRESSING, WOUND COVER, STERILE, PAD SIZE MORE THAN 16 SQ. IN. BUT LESS THAN OR EQUAL TO 48 SQ. IN., WITH ANY SIZE ADHESIVE BORDER, EACH DRESSING</t>
        </is>
      </c>
      <c r="D192" t="n">
        <v>3</v>
      </c>
      <c r="E192" s="2" t="n">
        <v>4.25</v>
      </c>
      <c r="F192" t="inlineStr"/>
      <c r="G192" s="2" t="inlineStr"/>
      <c r="H192" t="inlineStr"/>
      <c r="I192" s="2" t="inlineStr"/>
      <c r="J192" t="inlineStr"/>
      <c r="K192" s="2" t="inlineStr"/>
      <c r="L192" t="inlineStr"/>
      <c r="M192" s="2" t="inlineStr"/>
      <c r="N192" s="2" t="inlineStr"/>
      <c r="O192" s="2">
        <f>IF(P192=J192,I192,IF(P192=L192,K192,M192))</f>
        <v/>
      </c>
      <c r="P192" s="3">
        <f>MIN(J192,L192,N192)</f>
        <v/>
      </c>
      <c r="Q192">
        <f>G192*P192</f>
        <v/>
      </c>
      <c r="R192">
        <f>IF(ISBLANK(H192),0,G192*H192)</f>
        <v/>
      </c>
      <c r="S192">
        <f>IF(R192=0,0,(R192-Q192)/R192)</f>
        <v/>
      </c>
    </row>
    <row r="193">
      <c r="A193" t="inlineStr">
        <is>
          <t>A6257</t>
        </is>
      </c>
      <c r="B193" t="inlineStr">
        <is>
          <t>S01</t>
        </is>
      </c>
      <c r="C193" t="inlineStr">
        <is>
          <t>TRANSPARENT FILM, STERILE, 16 SQ. IN. OR LESS, EACH DRESSING</t>
        </is>
      </c>
      <c r="D193" t="n">
        <v>3</v>
      </c>
      <c r="E193" s="2" t="n">
        <v>2.14</v>
      </c>
      <c r="F193" t="inlineStr"/>
      <c r="G193" s="2" t="inlineStr"/>
      <c r="H193" t="inlineStr"/>
      <c r="I193" s="2" t="inlineStr"/>
      <c r="J193" t="inlineStr"/>
      <c r="K193" s="2" t="inlineStr"/>
      <c r="L193" t="inlineStr"/>
      <c r="M193" s="2" t="inlineStr"/>
      <c r="N193" s="2" t="inlineStr"/>
      <c r="O193" s="2">
        <f>IF(P193=J193,I193,IF(P193=L193,K193,M193))</f>
        <v/>
      </c>
      <c r="P193" s="3">
        <f>MIN(J193,L193,N193)</f>
        <v/>
      </c>
      <c r="Q193">
        <f>G193*P193</f>
        <v/>
      </c>
      <c r="R193">
        <f>IF(ISBLANK(H193),0,G193*H193)</f>
        <v/>
      </c>
      <c r="S193">
        <f>IF(R193=0,0,(R193-Q193)/R193)</f>
        <v/>
      </c>
    </row>
    <row r="194">
      <c r="A194" t="inlineStr">
        <is>
          <t>A6258</t>
        </is>
      </c>
      <c r="B194" t="inlineStr">
        <is>
          <t>S01</t>
        </is>
      </c>
      <c r="C194" t="inlineStr">
        <is>
          <t>TRANSPARENT FILM, STERILE, MORE THAN 16 SQ. IN. BUT LESS THAN OR EQUAL TO 48 SQ. IN., EACH DRESSING</t>
        </is>
      </c>
      <c r="D194" t="n">
        <v>3</v>
      </c>
      <c r="E194" s="2" t="n">
        <v>6.02</v>
      </c>
      <c r="F194" t="inlineStr"/>
      <c r="G194" s="2" t="inlineStr"/>
      <c r="H194" t="inlineStr"/>
      <c r="I194" s="2" t="inlineStr"/>
      <c r="J194" t="inlineStr"/>
      <c r="K194" s="2" t="inlineStr"/>
      <c r="L194" t="inlineStr"/>
      <c r="M194" s="2" t="inlineStr"/>
      <c r="N194" s="2" t="inlineStr"/>
      <c r="O194" s="2">
        <f>IF(P194=J194,I194,IF(P194=L194,K194,M194))</f>
        <v/>
      </c>
      <c r="P194" s="3">
        <f>MIN(J194,L194,N194)</f>
        <v/>
      </c>
      <c r="Q194">
        <f>G194*P194</f>
        <v/>
      </c>
      <c r="R194">
        <f>IF(ISBLANK(H194),0,G194*H194)</f>
        <v/>
      </c>
      <c r="S194">
        <f>IF(R194=0,0,(R194-Q194)/R194)</f>
        <v/>
      </c>
    </row>
    <row r="195">
      <c r="A195" t="inlineStr">
        <is>
          <t>K0037</t>
        </is>
      </c>
      <c r="B195" t="inlineStr">
        <is>
          <t>M06A</t>
        </is>
      </c>
      <c r="C195" t="inlineStr">
        <is>
          <t>HIGH MOUNT FLIP-UP FOOTREST, EACH</t>
        </is>
      </c>
      <c r="D195" t="n">
        <v>3</v>
      </c>
      <c r="E195" s="2" t="n">
        <v>49.29</v>
      </c>
      <c r="F195" t="inlineStr"/>
      <c r="G195" s="2" t="inlineStr"/>
      <c r="H195" t="inlineStr"/>
      <c r="I195" s="2" t="inlineStr"/>
      <c r="J195" t="inlineStr"/>
      <c r="K195" s="2" t="inlineStr"/>
      <c r="L195" t="inlineStr"/>
      <c r="M195" s="2" t="inlineStr"/>
      <c r="N195" s="2" t="inlineStr"/>
      <c r="O195" s="2">
        <f>IF(P195=J195,I195,IF(P195=L195,K195,M195))</f>
        <v/>
      </c>
      <c r="P195" s="3">
        <f>MIN(J195,L195,N195)</f>
        <v/>
      </c>
      <c r="Q195">
        <f>G195*P195</f>
        <v/>
      </c>
      <c r="R195">
        <f>IF(ISBLANK(H195),0,G195*H195)</f>
        <v/>
      </c>
      <c r="S195">
        <f>IF(R195=0,0,(R195-Q195)/R195)</f>
        <v/>
      </c>
    </row>
    <row r="196">
      <c r="A196" t="inlineStr">
        <is>
          <t>A6442</t>
        </is>
      </c>
      <c r="B196" t="inlineStr">
        <is>
          <t>S01</t>
        </is>
      </c>
      <c r="C196" t="inlineStr">
        <is>
          <t>CONFORMING BANDAGE, NON-ELASTIC, KNITTED/WOVEN, NON-STERILE, WIDTH LESS THAN THREE INCHES, PER YARD</t>
        </is>
      </c>
      <c r="D196" t="n">
        <v>3</v>
      </c>
      <c r="E196" s="2" t="n">
        <v>0.23</v>
      </c>
      <c r="F196" t="inlineStr"/>
      <c r="G196" s="2" t="inlineStr"/>
      <c r="H196" t="inlineStr"/>
      <c r="I196" s="2" t="inlineStr"/>
      <c r="J196" t="inlineStr"/>
      <c r="K196" s="2" t="inlineStr"/>
      <c r="L196" t="inlineStr"/>
      <c r="M196" s="2" t="inlineStr"/>
      <c r="N196" s="2" t="inlineStr"/>
      <c r="O196" s="2">
        <f>IF(P196=J196,I196,IF(P196=L196,K196,M196))</f>
        <v/>
      </c>
      <c r="P196" s="3">
        <f>MIN(J196,L196,N196)</f>
        <v/>
      </c>
      <c r="Q196">
        <f>G196*P196</f>
        <v/>
      </c>
      <c r="R196">
        <f>IF(ISBLANK(H196),0,G196*H196)</f>
        <v/>
      </c>
      <c r="S196">
        <f>IF(R196=0,0,(R196-Q196)/R196)</f>
        <v/>
      </c>
    </row>
    <row r="197">
      <c r="A197" t="inlineStr">
        <is>
          <t>A6410</t>
        </is>
      </c>
      <c r="B197" t="inlineStr">
        <is>
          <t>S01</t>
        </is>
      </c>
      <c r="C197" t="inlineStr">
        <is>
          <t>EYE PAD, STERILE, EACH</t>
        </is>
      </c>
      <c r="D197" t="n">
        <v>3</v>
      </c>
      <c r="E197" s="2" t="n">
        <v>0.52</v>
      </c>
      <c r="F197" t="inlineStr"/>
      <c r="G197" s="2" t="inlineStr"/>
      <c r="H197" t="inlineStr"/>
      <c r="I197" s="2" t="inlineStr"/>
      <c r="J197" t="inlineStr"/>
      <c r="K197" s="2" t="inlineStr"/>
      <c r="L197" t="inlineStr"/>
      <c r="M197" s="2" t="inlineStr"/>
      <c r="N197" s="2" t="inlineStr"/>
      <c r="O197" s="2">
        <f>IF(P197=J197,I197,IF(P197=L197,K197,M197))</f>
        <v/>
      </c>
      <c r="P197" s="3">
        <f>MIN(J197,L197,N197)</f>
        <v/>
      </c>
      <c r="Q197">
        <f>G197*P197</f>
        <v/>
      </c>
      <c r="R197">
        <f>IF(ISBLANK(H197),0,G197*H197)</f>
        <v/>
      </c>
      <c r="S197">
        <f>IF(R197=0,0,(R197-Q197)/R197)</f>
        <v/>
      </c>
    </row>
    <row r="198">
      <c r="A198" t="inlineStr">
        <is>
          <t>A6454</t>
        </is>
      </c>
      <c r="B198" t="inlineStr">
        <is>
          <t>S01</t>
        </is>
      </c>
      <c r="C198" t="inlineStr">
        <is>
          <t>SELF-ADHERENT BANDAGE, ELASTIC, NON-KNITTED/NON-WOVEN, WIDTH GREATER THAN OR EQUAL TO THREE INCHES AND LESS THAN FIVE INCHES, PER YARD</t>
        </is>
      </c>
      <c r="D198" t="n">
        <v>3</v>
      </c>
      <c r="E198" s="2" t="n">
        <v>1.1</v>
      </c>
      <c r="F198" t="inlineStr"/>
      <c r="G198" s="2" t="inlineStr"/>
      <c r="H198" t="inlineStr"/>
      <c r="I198" s="2" t="inlineStr"/>
      <c r="J198" t="inlineStr"/>
      <c r="K198" s="2" t="inlineStr"/>
      <c r="L198" t="inlineStr"/>
      <c r="M198" s="2" t="inlineStr"/>
      <c r="N198" s="2" t="inlineStr"/>
      <c r="O198" s="2">
        <f>IF(P198=J198,I198,IF(P198=L198,K198,M198))</f>
        <v/>
      </c>
      <c r="P198" s="3">
        <f>MIN(J198,L198,N198)</f>
        <v/>
      </c>
      <c r="Q198">
        <f>G198*P198</f>
        <v/>
      </c>
      <c r="R198">
        <f>IF(ISBLANK(H198),0,G198*H198)</f>
        <v/>
      </c>
      <c r="S198">
        <f>IF(R198=0,0,(R198-Q198)/R198)</f>
        <v/>
      </c>
    </row>
    <row r="199">
      <c r="A199" t="inlineStr">
        <is>
          <t>A6403</t>
        </is>
      </c>
      <c r="B199" t="inlineStr">
        <is>
          <t>S01</t>
        </is>
      </c>
      <c r="C199" t="inlineStr">
        <is>
          <t>GAUZE, NON-IMPREGNATED, STERILE, PAD SIZE MORE THAN 16 SQ. IN. LESS THAN OR EQUAL TO 48 SQ. IN., WITHOUT ADHESIVE BORDER, EACH DRESSING</t>
        </is>
      </c>
      <c r="D199" t="n">
        <v>3</v>
      </c>
      <c r="E199" s="2" t="n">
        <v>0.57</v>
      </c>
      <c r="F199" t="inlineStr"/>
      <c r="G199" s="2" t="inlineStr"/>
      <c r="H199" t="inlineStr"/>
      <c r="I199" s="2" t="inlineStr"/>
      <c r="J199" t="inlineStr"/>
      <c r="K199" s="2" t="inlineStr"/>
      <c r="L199" t="inlineStr"/>
      <c r="M199" s="2" t="inlineStr"/>
      <c r="N199" s="2" t="inlineStr"/>
      <c r="O199" s="2">
        <f>IF(P199=J199,I199,IF(P199=L199,K199,M199))</f>
        <v/>
      </c>
      <c r="P199" s="3">
        <f>MIN(J199,L199,N199)</f>
        <v/>
      </c>
      <c r="Q199">
        <f>G199*P199</f>
        <v/>
      </c>
      <c r="R199">
        <f>IF(ISBLANK(H199),0,G199*H199)</f>
        <v/>
      </c>
      <c r="S199">
        <f>IF(R199=0,0,(R199-Q199)/R199)</f>
        <v/>
      </c>
    </row>
    <row r="200">
      <c r="A200" t="inlineStr">
        <is>
          <t>A6446</t>
        </is>
      </c>
      <c r="B200" t="inlineStr">
        <is>
          <t>S01</t>
        </is>
      </c>
      <c r="C200" t="inlineStr">
        <is>
          <t>CONFORMING BANDAGE, NON-ELASTIC, KNITTED/WOVEN, STERILE, WIDTH GREATER THAN OR EQUAL TO THREE INCHES AND LESS THAN FIVE INCHES, PER YARD</t>
        </is>
      </c>
      <c r="D200" t="n">
        <v>3</v>
      </c>
      <c r="E200" s="2" t="n">
        <v>0.54</v>
      </c>
      <c r="F200" t="inlineStr"/>
      <c r="G200" s="2" t="inlineStr"/>
      <c r="H200" t="inlineStr"/>
      <c r="I200" s="2" t="inlineStr"/>
      <c r="J200" t="inlineStr"/>
      <c r="K200" s="2" t="inlineStr"/>
      <c r="L200" t="inlineStr"/>
      <c r="M200" s="2" t="inlineStr"/>
      <c r="N200" s="2" t="inlineStr"/>
      <c r="O200" s="2">
        <f>IF(P200=J200,I200,IF(P200=L200,K200,M200))</f>
        <v/>
      </c>
      <c r="P200" s="3">
        <f>MIN(J200,L200,N200)</f>
        <v/>
      </c>
      <c r="Q200">
        <f>G200*P200</f>
        <v/>
      </c>
      <c r="R200">
        <f>IF(ISBLANK(H200),0,G200*H200)</f>
        <v/>
      </c>
      <c r="S200">
        <f>IF(R200=0,0,(R200-Q200)/R200)</f>
        <v/>
      </c>
    </row>
    <row r="201">
      <c r="A201" t="inlineStr">
        <is>
          <t>A6445</t>
        </is>
      </c>
      <c r="B201" t="inlineStr">
        <is>
          <t>S01</t>
        </is>
      </c>
      <c r="C201" t="inlineStr">
        <is>
          <t>CONFORMING BANDAGE, NON-ELASTIC, KNITTED/WOVEN, STERILE, WIDTH LESS THAN THREE INCHES, PER YARD</t>
        </is>
      </c>
      <c r="D201" t="n">
        <v>3</v>
      </c>
      <c r="E201" s="2" t="n">
        <v>0.44</v>
      </c>
      <c r="F201" t="inlineStr"/>
      <c r="G201" s="2" t="inlineStr"/>
      <c r="H201" t="inlineStr"/>
      <c r="I201" s="2" t="inlineStr"/>
      <c r="J201" t="inlineStr"/>
      <c r="K201" s="2" t="inlineStr"/>
      <c r="L201" t="inlineStr"/>
      <c r="M201" s="2" t="inlineStr"/>
      <c r="N201" s="2" t="inlineStr"/>
      <c r="O201" s="2">
        <f>IF(P201=J201,I201,IF(P201=L201,K201,M201))</f>
        <v/>
      </c>
      <c r="P201" s="3">
        <f>MIN(J201,L201,N201)</f>
        <v/>
      </c>
      <c r="Q201">
        <f>G201*P201</f>
        <v/>
      </c>
      <c r="R201">
        <f>IF(ISBLANK(H201),0,G201*H201)</f>
        <v/>
      </c>
      <c r="S201">
        <f>IF(R201=0,0,(R201-Q201)/R201)</f>
        <v/>
      </c>
    </row>
    <row r="202">
      <c r="A202" t="inlineStr">
        <is>
          <t>A6444</t>
        </is>
      </c>
      <c r="B202" t="inlineStr">
        <is>
          <t>S01</t>
        </is>
      </c>
      <c r="C202" t="inlineStr">
        <is>
          <t>CONFORMING BANDAGE, NON-ELASTIC, KNITTED/WOVEN, NON-STERILE, WIDTH GREATER THAN OR EQUAL TO 5 INCHES, PER YARD</t>
        </is>
      </c>
      <c r="D202" t="n">
        <v>3</v>
      </c>
      <c r="E202" s="2" t="n">
        <v>0.78</v>
      </c>
      <c r="F202" t="inlineStr"/>
      <c r="G202" s="2" t="inlineStr"/>
      <c r="H202" t="inlineStr"/>
      <c r="I202" s="2" t="inlineStr"/>
      <c r="J202" t="inlineStr"/>
      <c r="K202" s="2" t="inlineStr"/>
      <c r="L202" t="inlineStr"/>
      <c r="M202" s="2" t="inlineStr"/>
      <c r="N202" s="2" t="inlineStr"/>
      <c r="O202" s="2">
        <f>IF(P202=J202,I202,IF(P202=L202,K202,M202))</f>
        <v/>
      </c>
      <c r="P202" s="3">
        <f>MIN(J202,L202,N202)</f>
        <v/>
      </c>
      <c r="Q202">
        <f>G202*P202</f>
        <v/>
      </c>
      <c r="R202">
        <f>IF(ISBLANK(H202),0,G202*H202)</f>
        <v/>
      </c>
      <c r="S202">
        <f>IF(R202=0,0,(R202-Q202)/R202)</f>
        <v/>
      </c>
    </row>
    <row r="203">
      <c r="A203" t="inlineStr">
        <is>
          <t>A6539</t>
        </is>
      </c>
      <c r="B203" t="inlineStr">
        <is>
          <t>S01</t>
        </is>
      </c>
      <c r="C203" t="inlineStr">
        <is>
          <t>GRADIENT COMPRESSION STOCKING, WAIST LENGTH, 18-30 MMHG, EACH</t>
        </is>
      </c>
      <c r="D203" t="n">
        <v>3</v>
      </c>
      <c r="E203" s="2" t="n">
        <v>95.29000000000001</v>
      </c>
      <c r="F203" t="inlineStr"/>
      <c r="G203" s="2" t="inlineStr"/>
      <c r="H203" t="inlineStr"/>
      <c r="I203" s="2" t="inlineStr"/>
      <c r="J203" t="inlineStr"/>
      <c r="K203" s="2" t="inlineStr"/>
      <c r="L203" t="inlineStr"/>
      <c r="M203" s="2" t="inlineStr"/>
      <c r="N203" s="2" t="inlineStr"/>
      <c r="O203" s="2">
        <f>IF(P203=J203,I203,IF(P203=L203,K203,M203))</f>
        <v/>
      </c>
      <c r="P203" s="3">
        <f>MIN(J203,L203,N203)</f>
        <v/>
      </c>
      <c r="Q203">
        <f>G203*P203</f>
        <v/>
      </c>
      <c r="R203">
        <f>IF(ISBLANK(H203),0,G203*H203)</f>
        <v/>
      </c>
      <c r="S203">
        <f>IF(R203=0,0,(R203-Q203)/R203)</f>
        <v/>
      </c>
    </row>
    <row r="204">
      <c r="A204" t="inlineStr">
        <is>
          <t>A4333</t>
        </is>
      </c>
      <c r="B204" t="inlineStr">
        <is>
          <t>PD09</t>
        </is>
      </c>
      <c r="C204" t="inlineStr">
        <is>
          <t>URINARY CATHETER ANCHORING DEVICE, ADHESIVE SKIN ATTACHMENT, EACH</t>
        </is>
      </c>
      <c r="D204" t="n">
        <v>3</v>
      </c>
      <c r="E204" s="2" t="n">
        <v>3.1</v>
      </c>
      <c r="F204" t="inlineStr"/>
      <c r="G204" s="2" t="inlineStr"/>
      <c r="H204" t="inlineStr"/>
      <c r="I204" s="2" t="inlineStr"/>
      <c r="J204" t="inlineStr"/>
      <c r="K204" s="2" t="inlineStr"/>
      <c r="L204" t="inlineStr"/>
      <c r="M204" s="2" t="inlineStr"/>
      <c r="N204" s="2" t="inlineStr"/>
      <c r="O204" s="2">
        <f>IF(P204=J204,I204,IF(P204=L204,K204,M204))</f>
        <v/>
      </c>
      <c r="P204" s="3">
        <f>MIN(J204,L204,N204)</f>
        <v/>
      </c>
      <c r="Q204">
        <f>G204*P204</f>
        <v/>
      </c>
      <c r="R204">
        <f>IF(ISBLANK(H204),0,G204*H204)</f>
        <v/>
      </c>
      <c r="S204">
        <f>IF(R204=0,0,(R204-Q204)/R204)</f>
        <v/>
      </c>
    </row>
    <row r="205">
      <c r="A205" t="inlineStr">
        <is>
          <t>A4332</t>
        </is>
      </c>
      <c r="B205" t="inlineStr">
        <is>
          <t>PD09</t>
        </is>
      </c>
      <c r="C205" t="inlineStr">
        <is>
          <t>LUBRICANT, INDIVIDUAL STERILE PACKET, EACH</t>
        </is>
      </c>
      <c r="D205" t="n">
        <v>3</v>
      </c>
      <c r="E205" s="2" t="n">
        <v>0.15</v>
      </c>
      <c r="F205" t="inlineStr"/>
      <c r="G205" s="2" t="inlineStr"/>
      <c r="H205" t="inlineStr"/>
      <c r="I205" s="2" t="inlineStr"/>
      <c r="J205" t="inlineStr"/>
      <c r="K205" s="2" t="inlineStr"/>
      <c r="L205" t="inlineStr"/>
      <c r="M205" s="2" t="inlineStr"/>
      <c r="N205" s="2" t="inlineStr"/>
      <c r="O205" s="2">
        <f>IF(P205=J205,I205,IF(P205=L205,K205,M205))</f>
        <v/>
      </c>
      <c r="P205" s="3">
        <f>MIN(J205,L205,N205)</f>
        <v/>
      </c>
      <c r="Q205">
        <f>G205*P205</f>
        <v/>
      </c>
      <c r="R205">
        <f>IF(ISBLANK(H205),0,G205*H205)</f>
        <v/>
      </c>
      <c r="S205">
        <f>IF(R205=0,0,(R205-Q205)/R205)</f>
        <v/>
      </c>
    </row>
    <row r="206">
      <c r="A206" t="inlineStr">
        <is>
          <t>A4456</t>
        </is>
      </c>
      <c r="B206" t="inlineStr">
        <is>
          <t>PD09</t>
        </is>
      </c>
      <c r="C206" t="inlineStr">
        <is>
          <t>ADHESIVE REMOVER, WIPES, ANY TYPE, EACH</t>
        </is>
      </c>
      <c r="D206" t="n">
        <v>3</v>
      </c>
      <c r="E206" s="2" t="n">
        <v>0.34</v>
      </c>
      <c r="F206" t="inlineStr"/>
      <c r="G206" s="2" t="inlineStr"/>
      <c r="H206" t="inlineStr"/>
      <c r="I206" s="2" t="inlineStr"/>
      <c r="J206" t="inlineStr"/>
      <c r="K206" s="2" t="inlineStr"/>
      <c r="L206" t="inlineStr"/>
      <c r="M206" s="2" t="inlineStr"/>
      <c r="N206" s="2" t="inlineStr"/>
      <c r="O206" s="2">
        <f>IF(P206=J206,I206,IF(P206=L206,K206,M206))</f>
        <v/>
      </c>
      <c r="P206" s="3">
        <f>MIN(J206,L206,N206)</f>
        <v/>
      </c>
      <c r="Q206">
        <f>G206*P206</f>
        <v/>
      </c>
      <c r="R206">
        <f>IF(ISBLANK(H206),0,G206*H206)</f>
        <v/>
      </c>
      <c r="S206">
        <f>IF(R206=0,0,(R206-Q206)/R206)</f>
        <v/>
      </c>
    </row>
    <row r="207">
      <c r="A207" t="inlineStr">
        <is>
          <t>E0990</t>
        </is>
      </c>
      <c r="B207" t="inlineStr">
        <is>
          <t>M06A</t>
        </is>
      </c>
      <c r="C207" t="inlineStr">
        <is>
          <t>WHEELCHAIR ACCESSORY, ELEVATING LEG REST, COMPLETE ASSEMBLY, EACH</t>
        </is>
      </c>
      <c r="D207" t="n">
        <v>3</v>
      </c>
      <c r="E207" s="2" t="n">
        <v>70.34</v>
      </c>
      <c r="F207" t="inlineStr"/>
      <c r="G207" s="2" t="inlineStr"/>
      <c r="H207" t="inlineStr"/>
      <c r="I207" s="2" t="inlineStr"/>
      <c r="J207" t="inlineStr"/>
      <c r="K207" s="2" t="inlineStr"/>
      <c r="L207" t="inlineStr"/>
      <c r="M207" s="2" t="inlineStr"/>
      <c r="N207" s="2" t="inlineStr"/>
      <c r="O207" s="2">
        <f>IF(P207=J207,I207,IF(P207=L207,K207,M207))</f>
        <v/>
      </c>
      <c r="P207" s="3">
        <f>MIN(J207,L207,N207)</f>
        <v/>
      </c>
      <c r="Q207">
        <f>G207*P207</f>
        <v/>
      </c>
      <c r="R207">
        <f>IF(ISBLANK(H207),0,G207*H207)</f>
        <v/>
      </c>
      <c r="S207">
        <f>IF(R207=0,0,(R207-Q207)/R207)</f>
        <v/>
      </c>
    </row>
    <row r="208">
      <c r="A208" t="inlineStr">
        <is>
          <t>E2207</t>
        </is>
      </c>
      <c r="B208" t="inlineStr">
        <is>
          <t>M06A</t>
        </is>
      </c>
      <c r="C208" t="inlineStr">
        <is>
          <t>WHEELCHAIR ACCESSORY, CRUTCH AND CANE HOLDER, EACH</t>
        </is>
      </c>
      <c r="D208" t="n">
        <v>3</v>
      </c>
      <c r="E208" s="2" t="n">
        <v>48.71</v>
      </c>
      <c r="F208" t="inlineStr"/>
      <c r="G208" s="2" t="inlineStr"/>
      <c r="H208" t="inlineStr"/>
      <c r="I208" s="2" t="inlineStr"/>
      <c r="J208" t="inlineStr"/>
      <c r="K208" s="2" t="inlineStr"/>
      <c r="L208" t="inlineStr"/>
      <c r="M208" s="2" t="inlineStr"/>
      <c r="N208" s="2" t="inlineStr"/>
      <c r="O208" s="2">
        <f>IF(P208=J208,I208,IF(P208=L208,K208,M208))</f>
        <v/>
      </c>
      <c r="P208" s="3">
        <f>MIN(J208,L208,N208)</f>
        <v/>
      </c>
      <c r="Q208">
        <f>G208*P208</f>
        <v/>
      </c>
      <c r="R208">
        <f>IF(ISBLANK(H208),0,G208*H208)</f>
        <v/>
      </c>
      <c r="S208">
        <f>IF(R208=0,0,(R208-Q208)/R208)</f>
        <v/>
      </c>
    </row>
    <row r="209">
      <c r="A209" t="inlineStr">
        <is>
          <t>E2208</t>
        </is>
      </c>
      <c r="B209" t="inlineStr">
        <is>
          <t>M06A</t>
        </is>
      </c>
      <c r="C209" t="inlineStr">
        <is>
          <t>WHEELCHAIR ACCESSORY, CYLINDER TANK CARRIER, EACH</t>
        </is>
      </c>
      <c r="D209" t="n">
        <v>3</v>
      </c>
      <c r="E209" s="2" t="n">
        <v>72.44</v>
      </c>
      <c r="F209" t="inlineStr"/>
      <c r="G209" s="2" t="inlineStr"/>
      <c r="H209" t="inlineStr"/>
      <c r="I209" s="2" t="inlineStr"/>
      <c r="J209" t="inlineStr"/>
      <c r="K209" s="2" t="inlineStr"/>
      <c r="L209" t="inlineStr"/>
      <c r="M209" s="2" t="inlineStr"/>
      <c r="N209" s="2" t="inlineStr"/>
      <c r="O209" s="2">
        <f>IF(P209=J209,I209,IF(P209=L209,K209,M209))</f>
        <v/>
      </c>
      <c r="P209" s="3">
        <f>MIN(J209,L209,N209)</f>
        <v/>
      </c>
      <c r="Q209">
        <f>G209*P209</f>
        <v/>
      </c>
      <c r="R209">
        <f>IF(ISBLANK(H209),0,G209*H209)</f>
        <v/>
      </c>
      <c r="S209">
        <f>IF(R209=0,0,(R209-Q209)/R209)</f>
        <v/>
      </c>
    </row>
    <row r="210">
      <c r="A210" t="inlineStr">
        <is>
          <t>E2209</t>
        </is>
      </c>
      <c r="B210" t="inlineStr">
        <is>
          <t>M06A</t>
        </is>
      </c>
      <c r="C210" t="inlineStr">
        <is>
          <t>ACCESSORY, ARM TROUGH, WITH OR WITHOUT HAND SUPPORT, EACH</t>
        </is>
      </c>
      <c r="D210" t="n">
        <v>3</v>
      </c>
      <c r="E210" s="2" t="n">
        <v>85.5</v>
      </c>
      <c r="F210" t="inlineStr"/>
      <c r="G210" s="2" t="inlineStr"/>
      <c r="H210" t="inlineStr"/>
      <c r="I210" s="2" t="inlineStr"/>
      <c r="J210" t="inlineStr"/>
      <c r="K210" s="2" t="inlineStr"/>
      <c r="L210" t="inlineStr"/>
      <c r="M210" s="2" t="inlineStr"/>
      <c r="N210" s="2" t="inlineStr"/>
      <c r="O210" s="2">
        <f>IF(P210=J210,I210,IF(P210=L210,K210,M210))</f>
        <v/>
      </c>
      <c r="P210" s="3">
        <f>MIN(J210,L210,N210)</f>
        <v/>
      </c>
      <c r="Q210">
        <f>G210*P210</f>
        <v/>
      </c>
      <c r="R210">
        <f>IF(ISBLANK(H210),0,G210*H210)</f>
        <v/>
      </c>
      <c r="S210">
        <f>IF(R210=0,0,(R210-Q210)/R210)</f>
        <v/>
      </c>
    </row>
    <row r="211">
      <c r="A211" t="inlineStr">
        <is>
          <t>E1020</t>
        </is>
      </c>
      <c r="B211" t="inlineStr">
        <is>
          <t>M06A</t>
        </is>
      </c>
      <c r="C211" t="inlineStr">
        <is>
          <t>RESIDUAL LIMB SUPPORT SYSTEM FOR WHEELCHAIR, ANY TYPE</t>
        </is>
      </c>
      <c r="D211" t="n">
        <v>3</v>
      </c>
      <c r="E211" s="2" t="n">
        <v>18.52</v>
      </c>
      <c r="F211" t="inlineStr"/>
      <c r="G211" s="2" t="inlineStr"/>
      <c r="H211" t="inlineStr"/>
      <c r="I211" s="2" t="inlineStr"/>
      <c r="J211" t="inlineStr"/>
      <c r="K211" s="2" t="inlineStr"/>
      <c r="L211" t="inlineStr"/>
      <c r="M211" s="2" t="inlineStr"/>
      <c r="N211" s="2" t="inlineStr"/>
      <c r="O211" s="2">
        <f>IF(P211=J211,I211,IF(P211=L211,K211,M211))</f>
        <v/>
      </c>
      <c r="P211" s="3">
        <f>MIN(J211,L211,N211)</f>
        <v/>
      </c>
      <c r="Q211">
        <f>G211*P211</f>
        <v/>
      </c>
      <c r="R211">
        <f>IF(ISBLANK(H211),0,G211*H211)</f>
        <v/>
      </c>
      <c r="S211">
        <f>IF(R211=0,0,(R211-Q211)/R211)</f>
        <v/>
      </c>
    </row>
    <row r="212">
      <c r="A212" t="inlineStr">
        <is>
          <t>E1028</t>
        </is>
      </c>
      <c r="B212" t="inlineStr">
        <is>
          <t>M06A</t>
        </is>
      </c>
      <c r="C212" t="inlineStr">
        <is>
          <t>WHEELCHAIR ACCESSORY, MANUAL SWINGAWAY, RETRACTABLE OR REMOVABLE MOUNTING HARDWARE, OTHER</t>
        </is>
      </c>
      <c r="D212" t="n">
        <v>3</v>
      </c>
      <c r="E212" s="2" t="n">
        <v>14.82</v>
      </c>
      <c r="F212" t="inlineStr"/>
      <c r="G212" s="2" t="inlineStr"/>
      <c r="H212" t="inlineStr"/>
      <c r="I212" s="2" t="inlineStr"/>
      <c r="J212" t="inlineStr"/>
      <c r="K212" s="2" t="inlineStr"/>
      <c r="L212" t="inlineStr"/>
      <c r="M212" s="2" t="inlineStr"/>
      <c r="N212" s="2" t="inlineStr"/>
      <c r="O212" s="2">
        <f>IF(P212=J212,I212,IF(P212=L212,K212,M212))</f>
        <v/>
      </c>
      <c r="P212" s="3">
        <f>MIN(J212,L212,N212)</f>
        <v/>
      </c>
      <c r="Q212">
        <f>G212*P212</f>
        <v/>
      </c>
      <c r="R212">
        <f>IF(ISBLANK(H212),0,G212*H212)</f>
        <v/>
      </c>
      <c r="S212">
        <f>IF(R212=0,0,(R212-Q212)/R212)</f>
        <v/>
      </c>
    </row>
    <row r="213">
      <c r="A213" t="inlineStr">
        <is>
          <t>K0072</t>
        </is>
      </c>
      <c r="B213" t="inlineStr">
        <is>
          <t>M06A</t>
        </is>
      </c>
      <c r="C213" t="inlineStr">
        <is>
          <t>FRONT CASTER ASSEMBLY, COMPLETE, WITH SEMI-PNEUMATIC TIRE, REPLACEMENT ONLY, EACH</t>
        </is>
      </c>
      <c r="D213" t="n">
        <v>3</v>
      </c>
      <c r="E213" s="2" t="n">
        <v>71.2</v>
      </c>
      <c r="F213" t="inlineStr"/>
      <c r="G213" s="2" t="inlineStr"/>
      <c r="H213" t="inlineStr"/>
      <c r="I213" s="2" t="inlineStr"/>
      <c r="J213" t="inlineStr"/>
      <c r="K213" s="2" t="inlineStr"/>
      <c r="L213" t="inlineStr"/>
      <c r="M213" s="2" t="inlineStr"/>
      <c r="N213" s="2" t="inlineStr"/>
      <c r="O213" s="2">
        <f>IF(P213=J213,I213,IF(P213=L213,K213,M213))</f>
        <v/>
      </c>
      <c r="P213" s="3">
        <f>MIN(J213,L213,N213)</f>
        <v/>
      </c>
      <c r="Q213">
        <f>G213*P213</f>
        <v/>
      </c>
      <c r="R213">
        <f>IF(ISBLANK(H213),0,G213*H213)</f>
        <v/>
      </c>
      <c r="S213">
        <f>IF(R213=0,0,(R213-Q213)/R213)</f>
        <v/>
      </c>
    </row>
    <row r="214">
      <c r="A214" t="inlineStr">
        <is>
          <t>E0570</t>
        </is>
      </c>
      <c r="B214" t="inlineStr">
        <is>
          <t>R07</t>
        </is>
      </c>
      <c r="C214" t="inlineStr">
        <is>
          <t>NEBULIZER, WITH COMPRESSOR</t>
        </is>
      </c>
      <c r="D214" t="n">
        <v>6</v>
      </c>
      <c r="E214" s="2" t="n">
        <v>5.53</v>
      </c>
      <c r="F214" t="inlineStr"/>
      <c r="G214" s="2" t="inlineStr"/>
      <c r="H214" t="inlineStr"/>
      <c r="I214" s="2" t="inlineStr"/>
      <c r="J214" t="inlineStr"/>
      <c r="K214" s="2" t="inlineStr"/>
      <c r="L214" t="inlineStr"/>
      <c r="M214" s="2" t="inlineStr"/>
      <c r="N214" s="2" t="inlineStr"/>
      <c r="O214" s="2">
        <f>IF(P214=J214,I214,IF(P214=L214,K214,M214))</f>
        <v/>
      </c>
      <c r="P214" s="3">
        <f>MIN(J214,L214,N214)</f>
        <v/>
      </c>
      <c r="Q214">
        <f>G214*P214</f>
        <v/>
      </c>
      <c r="R214">
        <f>IF(ISBLANK(H214),0,G214*H214)</f>
        <v/>
      </c>
      <c r="S214">
        <f>IF(R214=0,0,(R214-Q214)/R214)</f>
        <v/>
      </c>
    </row>
    <row r="215">
      <c r="A215" t="inlineStr">
        <is>
          <t>K0052</t>
        </is>
      </c>
      <c r="B215" t="inlineStr">
        <is>
          <t>M06A</t>
        </is>
      </c>
      <c r="C215" t="inlineStr">
        <is>
          <t>SWINGAWAY, DETACHABLE FOOTRESTS, REPLACEMENT ONLY, EACH</t>
        </is>
      </c>
      <c r="D215" t="n">
        <v>3</v>
      </c>
      <c r="E215" s="2" t="n">
        <v>71.2</v>
      </c>
      <c r="F215" t="inlineStr"/>
      <c r="G215" s="2" t="inlineStr"/>
      <c r="H215" t="inlineStr"/>
      <c r="I215" s="2" t="inlineStr"/>
      <c r="J215" t="inlineStr"/>
      <c r="K215" s="2" t="inlineStr"/>
      <c r="L215" t="inlineStr"/>
      <c r="M215" s="2" t="inlineStr"/>
      <c r="N215" s="2" t="inlineStr"/>
      <c r="O215" s="2">
        <f>IF(P215=J215,I215,IF(P215=L215,K215,M215))</f>
        <v/>
      </c>
      <c r="P215" s="3">
        <f>MIN(J215,L215,N215)</f>
        <v/>
      </c>
      <c r="Q215">
        <f>G215*P215</f>
        <v/>
      </c>
      <c r="R215">
        <f>IF(ISBLANK(H215),0,G215*H215)</f>
        <v/>
      </c>
      <c r="S215">
        <f>IF(R215=0,0,(R215-Q215)/R215)</f>
        <v/>
      </c>
    </row>
    <row r="216">
      <c r="A216" t="inlineStr">
        <is>
          <t>A6247</t>
        </is>
      </c>
      <c r="B216" t="inlineStr">
        <is>
          <t>S01</t>
        </is>
      </c>
      <c r="C216" t="inlineStr">
        <is>
          <t>HYDROGEL DRESSING, WOUND COVER, STERILE, PAD SIZE MORE THAN 48 SQ. IN., WITH ANY SIZE ADHESIVE BORDER, EACH DRESSING</t>
        </is>
      </c>
      <c r="D216" t="n">
        <v>3</v>
      </c>
      <c r="E216" s="2" t="n">
        <v>33.23</v>
      </c>
      <c r="F216" t="inlineStr"/>
      <c r="G216" s="2" t="inlineStr"/>
      <c r="H216" t="inlineStr"/>
      <c r="I216" s="2" t="inlineStr"/>
      <c r="J216" t="inlineStr"/>
      <c r="K216" s="2" t="inlineStr"/>
      <c r="L216" t="inlineStr"/>
      <c r="M216" s="2" t="inlineStr"/>
      <c r="N216" s="2" t="inlineStr"/>
      <c r="O216" s="2">
        <f>IF(P216=J216,I216,IF(P216=L216,K216,M216))</f>
        <v/>
      </c>
      <c r="P216" s="3">
        <f>MIN(J216,L216,N216)</f>
        <v/>
      </c>
      <c r="Q216">
        <f>G216*P216</f>
        <v/>
      </c>
      <c r="R216">
        <f>IF(ISBLANK(H216),0,G216*H216)</f>
        <v/>
      </c>
      <c r="S216">
        <f>IF(R216=0,0,(R216-Q216)/R216)</f>
        <v/>
      </c>
    </row>
    <row r="217">
      <c r="A217" t="inlineStr">
        <is>
          <t>A6266</t>
        </is>
      </c>
      <c r="B217" t="inlineStr">
        <is>
          <t>S01</t>
        </is>
      </c>
      <c r="C217" t="inlineStr">
        <is>
          <t>GAUZE, IMPREGNATED, OTHER THAN WATER, NORMAL SALINE, OR ZINC PASTE, STERILE, ANY WIDTH, PER LINEAR YARD</t>
        </is>
      </c>
      <c r="D217" t="n">
        <v>3</v>
      </c>
      <c r="E217" s="2" t="n">
        <v>2.67</v>
      </c>
      <c r="F217" t="inlineStr"/>
      <c r="G217" s="2" t="inlineStr"/>
      <c r="H217" t="inlineStr"/>
      <c r="I217" s="2" t="inlineStr"/>
      <c r="J217" t="inlineStr"/>
      <c r="K217" s="2" t="inlineStr"/>
      <c r="L217" t="inlineStr"/>
      <c r="M217" s="2" t="inlineStr"/>
      <c r="N217" s="2" t="inlineStr"/>
      <c r="O217" s="2">
        <f>IF(P217=J217,I217,IF(P217=L217,K217,M217))</f>
        <v/>
      </c>
      <c r="P217" s="3">
        <f>MIN(J217,L217,N217)</f>
        <v/>
      </c>
      <c r="Q217">
        <f>G217*P217</f>
        <v/>
      </c>
      <c r="R217">
        <f>IF(ISBLANK(H217),0,G217*H217)</f>
        <v/>
      </c>
      <c r="S217">
        <f>IF(R217=0,0,(R217-Q217)/R217)</f>
        <v/>
      </c>
    </row>
    <row r="218">
      <c r="A218" t="inlineStr">
        <is>
          <t>A6536</t>
        </is>
      </c>
      <c r="B218" t="inlineStr">
        <is>
          <t>S01</t>
        </is>
      </c>
      <c r="C218" t="inlineStr">
        <is>
          <t>GRADIENT COMPRESSION STOCKING, FULL LENGTH/CHAP STYLE, 18-30 MMHG, EACH</t>
        </is>
      </c>
      <c r="D218" t="n">
        <v>3</v>
      </c>
      <c r="E218" s="2" t="n">
        <v>72.01000000000001</v>
      </c>
      <c r="F218" t="inlineStr"/>
      <c r="G218" s="2" t="inlineStr"/>
      <c r="H218" t="inlineStr"/>
      <c r="I218" s="2" t="inlineStr"/>
      <c r="J218" t="inlineStr"/>
      <c r="K218" s="2" t="inlineStr"/>
      <c r="L218" t="inlineStr"/>
      <c r="M218" s="2" t="inlineStr"/>
      <c r="N218" s="2" t="inlineStr"/>
      <c r="O218" s="2">
        <f>IF(P218=J218,I218,IF(P218=L218,K218,M218))</f>
        <v/>
      </c>
      <c r="P218" s="3">
        <f>MIN(J218,L218,N218)</f>
        <v/>
      </c>
      <c r="Q218">
        <f>G218*P218</f>
        <v/>
      </c>
      <c r="R218">
        <f>IF(ISBLANK(H218),0,G218*H218)</f>
        <v/>
      </c>
      <c r="S218">
        <f>IF(R218=0,0,(R218-Q218)/R218)</f>
        <v/>
      </c>
    </row>
    <row r="219">
      <c r="A219" t="inlineStr">
        <is>
          <t>A4554</t>
        </is>
      </c>
      <c r="B219" t="inlineStr">
        <is>
          <t>PD09</t>
        </is>
      </c>
      <c r="C219" t="inlineStr">
        <is>
          <t>DISPOSABLE UNDERPADS, ALL SIZES</t>
        </is>
      </c>
      <c r="D219" t="n">
        <v>2000</v>
      </c>
      <c r="E219" s="2" t="n"/>
      <c r="F219" t="inlineStr"/>
      <c r="G219" s="2" t="inlineStr"/>
      <c r="H219" t="inlineStr"/>
      <c r="I219" s="2" t="inlineStr"/>
      <c r="J219" t="inlineStr"/>
      <c r="K219" s="2" t="inlineStr"/>
      <c r="L219" t="inlineStr"/>
      <c r="M219" s="2" t="inlineStr"/>
      <c r="N219" s="2" t="inlineStr"/>
      <c r="O219" s="2">
        <f>IF(P219=J219,I219,IF(P219=L219,K219,M219))</f>
        <v/>
      </c>
      <c r="P219" s="3">
        <f>MIN(J219,L219,N219)</f>
        <v/>
      </c>
      <c r="Q219">
        <f>G219*P219</f>
        <v/>
      </c>
      <c r="R219">
        <f>IF(ISBLANK(H219),0,G219*H219)</f>
        <v/>
      </c>
      <c r="S219">
        <f>IF(R219=0,0,(R219-Q219)/R219)</f>
        <v/>
      </c>
    </row>
    <row r="220">
      <c r="A220" t="inlineStr">
        <is>
          <t>A4520</t>
        </is>
      </c>
      <c r="B220" t="inlineStr">
        <is>
          <t>PD09</t>
        </is>
      </c>
      <c r="C220" t="inlineStr">
        <is>
          <t>INCONTINENCE GARMENT, ANY TYPE, (E.G., BRIEF, DIAPER), EACH</t>
        </is>
      </c>
      <c r="D220" t="n">
        <v>3000</v>
      </c>
      <c r="E220" s="2" t="n"/>
      <c r="F220" t="inlineStr"/>
      <c r="G220" s="2" t="inlineStr"/>
      <c r="H220" t="inlineStr"/>
      <c r="I220" s="2" t="inlineStr"/>
      <c r="J220" t="inlineStr"/>
      <c r="K220" s="2" t="inlineStr"/>
      <c r="L220" t="inlineStr"/>
      <c r="M220" s="2" t="inlineStr"/>
      <c r="N220" s="2" t="inlineStr"/>
      <c r="O220" s="2">
        <f>IF(P220=J220,I220,IF(P220=L220,K220,M220))</f>
        <v/>
      </c>
      <c r="P220" s="3">
        <f>MIN(J220,L220,N220)</f>
        <v/>
      </c>
      <c r="Q220">
        <f>G220*P220</f>
        <v/>
      </c>
      <c r="R220">
        <f>IF(ISBLANK(H220),0,G220*H220)</f>
        <v/>
      </c>
      <c r="S220">
        <f>IF(R220=0,0,(R220-Q220)/R220)</f>
        <v/>
      </c>
    </row>
    <row r="221">
      <c r="A221" t="inlineStr">
        <is>
          <t>E1029</t>
        </is>
      </c>
      <c r="B221" t="inlineStr">
        <is>
          <t>M06A</t>
        </is>
      </c>
      <c r="C221" t="inlineStr">
        <is>
          <t>WHEELCHAIR ACCESSORY, VENTILATOR TRAY, FIXED</t>
        </is>
      </c>
      <c r="D221" t="n">
        <v>3</v>
      </c>
      <c r="E221" s="2" t="n">
        <v>44.49</v>
      </c>
      <c r="F221" t="inlineStr"/>
      <c r="G221" s="2" t="inlineStr"/>
      <c r="H221" t="inlineStr"/>
      <c r="I221" s="2" t="inlineStr"/>
      <c r="J221" t="inlineStr"/>
      <c r="K221" s="2" t="inlineStr"/>
      <c r="L221" t="inlineStr"/>
      <c r="M221" s="2" t="inlineStr"/>
      <c r="N221" s="2" t="inlineStr"/>
      <c r="O221" s="2">
        <f>IF(P221=J221,I221,IF(P221=L221,K221,M221))</f>
        <v/>
      </c>
      <c r="P221" s="3">
        <f>MIN(J221,L221,N221)</f>
        <v/>
      </c>
      <c r="Q221">
        <f>G221*P221</f>
        <v/>
      </c>
      <c r="R221">
        <f>IF(ISBLANK(H221),0,G221*H221)</f>
        <v/>
      </c>
      <c r="S221">
        <f>IF(R221=0,0,(R221-Q221)/R221)</f>
        <v/>
      </c>
    </row>
    <row r="222">
      <c r="A222" t="inlineStr">
        <is>
          <t>K0077</t>
        </is>
      </c>
      <c r="B222" t="inlineStr">
        <is>
          <t>M06A</t>
        </is>
      </c>
      <c r="C222" t="inlineStr">
        <is>
          <t>FRONT CASTER ASSEMBLY, COMPLETE, WITH SOLID TIRE, REPLACEMENT ONLY, EACH</t>
        </is>
      </c>
      <c r="D222" t="n">
        <v>3</v>
      </c>
      <c r="E222" s="2" t="n">
        <v>50.81</v>
      </c>
      <c r="F222" t="inlineStr"/>
      <c r="G222" s="2" t="inlineStr"/>
      <c r="H222" t="inlineStr"/>
      <c r="I222" s="2" t="inlineStr"/>
      <c r="J222" t="inlineStr"/>
      <c r="K222" s="2" t="inlineStr"/>
      <c r="L222" t="inlineStr"/>
      <c r="M222" s="2" t="inlineStr"/>
      <c r="N222" s="2" t="inlineStr"/>
      <c r="O222" s="2">
        <f>IF(P222=J222,I222,IF(P222=L222,K222,M222))</f>
        <v/>
      </c>
      <c r="P222" s="3">
        <f>MIN(J222,L222,N222)</f>
        <v/>
      </c>
      <c r="Q222">
        <f>G222*P222</f>
        <v/>
      </c>
      <c r="R222">
        <f>IF(ISBLANK(H222),0,G222*H222)</f>
        <v/>
      </c>
      <c r="S222">
        <f>IF(R222=0,0,(R222-Q222)/R222)</f>
        <v/>
      </c>
    </row>
    <row r="223">
      <c r="A223" t="inlineStr">
        <is>
          <t>K0105</t>
        </is>
      </c>
      <c r="B223" t="inlineStr">
        <is>
          <t>M06A</t>
        </is>
      </c>
      <c r="C223" t="inlineStr">
        <is>
          <t>IV HANGER, EACH</t>
        </is>
      </c>
      <c r="D223" t="n">
        <v>3</v>
      </c>
      <c r="E223" s="2" t="n">
        <v>103.67</v>
      </c>
      <c r="F223" t="inlineStr"/>
      <c r="G223" s="2" t="inlineStr"/>
      <c r="H223" t="inlineStr"/>
      <c r="I223" s="2" t="inlineStr"/>
      <c r="J223" t="inlineStr"/>
      <c r="K223" s="2" t="inlineStr"/>
      <c r="L223" t="inlineStr"/>
      <c r="M223" s="2" t="inlineStr"/>
      <c r="N223" s="2" t="inlineStr"/>
      <c r="O223" s="2">
        <f>IF(P223=J223,I223,IF(P223=L223,K223,M223))</f>
        <v/>
      </c>
      <c r="P223" s="3">
        <f>MIN(J223,L223,N223)</f>
        <v/>
      </c>
      <c r="Q223">
        <f>G223*P223</f>
        <v/>
      </c>
      <c r="R223">
        <f>IF(ISBLANK(H223),0,G223*H223)</f>
        <v/>
      </c>
      <c r="S223">
        <f>IF(R223=0,0,(R223-Q223)/R223)</f>
        <v/>
      </c>
    </row>
    <row r="224">
      <c r="A224" t="inlineStr">
        <is>
          <t>K0047</t>
        </is>
      </c>
      <c r="B224" t="inlineStr">
        <is>
          <t>M06A</t>
        </is>
      </c>
      <c r="C224" t="inlineStr">
        <is>
          <t>ELEVATING LEGREST, UPPER HANGER BRACKET, REPLACEMENT ONLY, EACH</t>
        </is>
      </c>
      <c r="D224" t="n">
        <v>3</v>
      </c>
      <c r="E224" s="2" t="n">
        <v>83.09</v>
      </c>
      <c r="F224" t="inlineStr"/>
      <c r="G224" s="2" t="inlineStr"/>
      <c r="H224" t="inlineStr"/>
      <c r="I224" s="2" t="inlineStr"/>
      <c r="J224" t="inlineStr"/>
      <c r="K224" s="2" t="inlineStr"/>
      <c r="L224" t="inlineStr"/>
      <c r="M224" s="2" t="inlineStr"/>
      <c r="N224" s="2" t="inlineStr"/>
      <c r="O224" s="2">
        <f>IF(P224=J224,I224,IF(P224=L224,K224,M224))</f>
        <v/>
      </c>
      <c r="P224" s="3">
        <f>MIN(J224,L224,N224)</f>
        <v/>
      </c>
      <c r="Q224">
        <f>G224*P224</f>
        <v/>
      </c>
      <c r="R224">
        <f>IF(ISBLANK(H224),0,G224*H224)</f>
        <v/>
      </c>
      <c r="S224">
        <f>IF(R224=0,0,(R224-Q224)/R224)</f>
        <v/>
      </c>
    </row>
    <row r="225">
      <c r="A225" t="inlineStr">
        <is>
          <t>K0046</t>
        </is>
      </c>
      <c r="B225" t="inlineStr">
        <is>
          <t>M06A</t>
        </is>
      </c>
      <c r="C225" t="inlineStr">
        <is>
          <t>ELEVATING LEGREST, LOWER EXTENSION TUBE, REPLACEMENT ONLY, EACH</t>
        </is>
      </c>
      <c r="D225" t="n">
        <v>3</v>
      </c>
      <c r="E225" s="2" t="n">
        <v>23.5</v>
      </c>
      <c r="F225" t="inlineStr"/>
      <c r="G225" s="2" t="inlineStr"/>
      <c r="H225" t="inlineStr"/>
      <c r="I225" s="2" t="inlineStr"/>
      <c r="J225" t="inlineStr"/>
      <c r="K225" s="2" t="inlineStr"/>
      <c r="L225" t="inlineStr"/>
      <c r="M225" s="2" t="inlineStr"/>
      <c r="N225" s="2" t="inlineStr"/>
      <c r="O225" s="2">
        <f>IF(P225=J225,I225,IF(P225=L225,K225,M225))</f>
        <v/>
      </c>
      <c r="P225" s="3">
        <f>MIN(J225,L225,N225)</f>
        <v/>
      </c>
      <c r="Q225">
        <f>G225*P225</f>
        <v/>
      </c>
      <c r="R225">
        <f>IF(ISBLANK(H225),0,G225*H225)</f>
        <v/>
      </c>
      <c r="S225">
        <f>IF(R225=0,0,(R225-Q225)/R225)</f>
        <v/>
      </c>
    </row>
    <row r="226">
      <c r="A226" t="inlineStr">
        <is>
          <t>E2210</t>
        </is>
      </c>
      <c r="B226" t="inlineStr">
        <is>
          <t>M06A</t>
        </is>
      </c>
      <c r="C226" t="inlineStr">
        <is>
          <t>WHEELCHAIR ACCESSORY, BEARINGS, ANY TYPE, REPLACEMENT ONLY, EACH</t>
        </is>
      </c>
      <c r="D226" t="n">
        <v>3</v>
      </c>
      <c r="E226" s="2" t="n">
        <v>5.12</v>
      </c>
      <c r="F226" t="inlineStr"/>
      <c r="G226" s="2" t="inlineStr"/>
      <c r="H226" t="inlineStr"/>
      <c r="I226" s="2" t="inlineStr"/>
      <c r="J226" t="inlineStr"/>
      <c r="K226" s="2" t="inlineStr"/>
      <c r="L226" t="inlineStr"/>
      <c r="M226" s="2" t="inlineStr"/>
      <c r="N226" s="2" t="inlineStr"/>
      <c r="O226" s="2">
        <f>IF(P226=J226,I226,IF(P226=L226,K226,M226))</f>
        <v/>
      </c>
      <c r="P226" s="3">
        <f>MIN(J226,L226,N226)</f>
        <v/>
      </c>
      <c r="Q226">
        <f>G226*P226</f>
        <v/>
      </c>
      <c r="R226">
        <f>IF(ISBLANK(H226),0,G226*H226)</f>
        <v/>
      </c>
      <c r="S226">
        <f>IF(R226=0,0,(R226-Q226)/R226)</f>
        <v/>
      </c>
    </row>
    <row r="227">
      <c r="A227" t="inlineStr">
        <is>
          <t>E2217</t>
        </is>
      </c>
      <c r="B227" t="inlineStr">
        <is>
          <t>M06A</t>
        </is>
      </c>
      <c r="C227" t="inlineStr">
        <is>
          <t>MANUAL WHEELCHAIR ACCESSORY, FOAM FILLED CASTER TIRE, ANY SIZE, EACH</t>
        </is>
      </c>
      <c r="D227" t="n">
        <v>3</v>
      </c>
      <c r="E227" s="2" t="n">
        <v>45.13</v>
      </c>
      <c r="F227" t="inlineStr"/>
      <c r="G227" s="2" t="inlineStr"/>
      <c r="H227" t="inlineStr"/>
      <c r="I227" s="2" t="inlineStr"/>
      <c r="J227" t="inlineStr"/>
      <c r="K227" s="2" t="inlineStr"/>
      <c r="L227" t="inlineStr"/>
      <c r="M227" s="2" t="inlineStr"/>
      <c r="N227" s="2" t="inlineStr"/>
      <c r="O227" s="2">
        <f>IF(P227=J227,I227,IF(P227=L227,K227,M227))</f>
        <v/>
      </c>
      <c r="P227" s="3">
        <f>MIN(J227,L227,N227)</f>
        <v/>
      </c>
      <c r="Q227">
        <f>G227*P227</f>
        <v/>
      </c>
      <c r="R227">
        <f>IF(ISBLANK(H227),0,G227*H227)</f>
        <v/>
      </c>
      <c r="S227">
        <f>IF(R227=0,0,(R227-Q227)/R227)</f>
        <v/>
      </c>
    </row>
    <row r="228">
      <c r="A228" t="inlineStr">
        <is>
          <t>E2218</t>
        </is>
      </c>
      <c r="B228" t="inlineStr">
        <is>
          <t>M06A</t>
        </is>
      </c>
      <c r="C228" t="inlineStr">
        <is>
          <t>MANUAL WHEELCHAIR ACCESSORY, FOAM PROPULSION TIRE, ANY SIZE, EACH</t>
        </is>
      </c>
      <c r="D228" t="n">
        <v>3</v>
      </c>
      <c r="E228" s="2" t="n">
        <v>51</v>
      </c>
      <c r="F228" t="inlineStr"/>
      <c r="G228" s="2" t="inlineStr"/>
      <c r="H228" t="inlineStr"/>
      <c r="I228" s="2" t="inlineStr"/>
      <c r="J228" t="inlineStr"/>
      <c r="K228" s="2" t="inlineStr"/>
      <c r="L228" t="inlineStr"/>
      <c r="M228" s="2" t="inlineStr"/>
      <c r="N228" s="2" t="inlineStr"/>
      <c r="O228" s="2">
        <f>IF(P228=J228,I228,IF(P228=L228,K228,M228))</f>
        <v/>
      </c>
      <c r="P228" s="3">
        <f>MIN(J228,L228,N228)</f>
        <v/>
      </c>
      <c r="Q228">
        <f>G228*P228</f>
        <v/>
      </c>
      <c r="R228">
        <f>IF(ISBLANK(H228),0,G228*H228)</f>
        <v/>
      </c>
      <c r="S228">
        <f>IF(R228=0,0,(R228-Q228)/R228)</f>
        <v/>
      </c>
    </row>
    <row r="229">
      <c r="A229" t="inlineStr">
        <is>
          <t>E1030</t>
        </is>
      </c>
      <c r="B229" t="inlineStr">
        <is>
          <t>M06A</t>
        </is>
      </c>
      <c r="C229" t="inlineStr">
        <is>
          <t>WHEELCHAIR ACCESSORY, VENTILATOR TRAY, GIMBALED</t>
        </is>
      </c>
      <c r="D229" t="n">
        <v>3</v>
      </c>
      <c r="E229" s="2" t="n">
        <v>140.33</v>
      </c>
      <c r="F229" t="inlineStr"/>
      <c r="G229" s="2" t="inlineStr"/>
      <c r="H229" t="inlineStr"/>
      <c r="I229" s="2" t="inlineStr"/>
      <c r="J229" t="inlineStr"/>
      <c r="K229" s="2" t="inlineStr"/>
      <c r="L229" t="inlineStr"/>
      <c r="M229" s="2" t="inlineStr"/>
      <c r="N229" s="2" t="inlineStr"/>
      <c r="O229" s="2">
        <f>IF(P229=J229,I229,IF(P229=L229,K229,M229))</f>
        <v/>
      </c>
      <c r="P229" s="3">
        <f>MIN(J229,L229,N229)</f>
        <v/>
      </c>
      <c r="Q229">
        <f>G229*P229</f>
        <v/>
      </c>
      <c r="R229">
        <f>IF(ISBLANK(H229),0,G229*H229)</f>
        <v/>
      </c>
      <c r="S229">
        <f>IF(R229=0,0,(R229-Q229)/R229)</f>
        <v/>
      </c>
    </row>
    <row r="230">
      <c r="A230" t="inlineStr">
        <is>
          <t>A6203</t>
        </is>
      </c>
      <c r="B230" t="inlineStr">
        <is>
          <t>S01</t>
        </is>
      </c>
      <c r="C230" t="inlineStr">
        <is>
          <t>COMPOSITE DRESSING, STERILE, PAD SIZE 16 SQ. IN. OR LESS, WITH ANY SIZE ADHESIVE BORDER, EACH DRESSING</t>
        </is>
      </c>
      <c r="D230" t="n">
        <v>3</v>
      </c>
      <c r="E230" s="2" t="n">
        <v>4.71</v>
      </c>
      <c r="F230" t="inlineStr"/>
      <c r="G230" s="2" t="inlineStr"/>
      <c r="H230" t="inlineStr"/>
      <c r="I230" s="2" t="inlineStr"/>
      <c r="J230" t="inlineStr"/>
      <c r="K230" s="2" t="inlineStr"/>
      <c r="L230" t="inlineStr"/>
      <c r="M230" s="2" t="inlineStr"/>
      <c r="N230" s="2" t="inlineStr"/>
      <c r="O230" s="2">
        <f>IF(P230=J230,I230,IF(P230=L230,K230,M230))</f>
        <v/>
      </c>
      <c r="P230" s="3">
        <f>MIN(J230,L230,N230)</f>
        <v/>
      </c>
      <c r="Q230">
        <f>G230*P230</f>
        <v/>
      </c>
      <c r="R230">
        <f>IF(ISBLANK(H230),0,G230*H230)</f>
        <v/>
      </c>
      <c r="S230">
        <f>IF(R230=0,0,(R230-Q230)/R230)</f>
        <v/>
      </c>
    </row>
    <row r="231">
      <c r="A231" t="inlineStr">
        <is>
          <t>A6447</t>
        </is>
      </c>
      <c r="B231" t="inlineStr">
        <is>
          <t>S01</t>
        </is>
      </c>
      <c r="C231" t="inlineStr">
        <is>
          <t>CONFORMING BANDAGE, NON-ELASTIC, KNITTED/WOVEN, STERILE, WIDTH GREATER THAN OR EQUAL TO FIVE INCHES, PER YARD</t>
        </is>
      </c>
      <c r="D231" t="n">
        <v>3</v>
      </c>
      <c r="E231" s="2" t="n">
        <v>0.95</v>
      </c>
      <c r="F231" t="inlineStr"/>
      <c r="G231" s="2" t="inlineStr"/>
      <c r="H231" t="inlineStr"/>
      <c r="I231" s="2" t="inlineStr"/>
      <c r="J231" t="inlineStr"/>
      <c r="K231" s="2" t="inlineStr"/>
      <c r="L231" t="inlineStr"/>
      <c r="M231" s="2" t="inlineStr"/>
      <c r="N231" s="2" t="inlineStr"/>
      <c r="O231" s="2">
        <f>IF(P231=J231,I231,IF(P231=L231,K231,M231))</f>
        <v/>
      </c>
      <c r="P231" s="3">
        <f>MIN(J231,L231,N231)</f>
        <v/>
      </c>
      <c r="Q231">
        <f>G231*P231</f>
        <v/>
      </c>
      <c r="R231">
        <f>IF(ISBLANK(H231),0,G231*H231)</f>
        <v/>
      </c>
      <c r="S231">
        <f>IF(R231=0,0,(R231-Q231)/R231)</f>
        <v/>
      </c>
    </row>
    <row r="232">
      <c r="A232" t="inlineStr">
        <is>
          <t>A4463</t>
        </is>
      </c>
      <c r="B232" t="inlineStr">
        <is>
          <t>S01</t>
        </is>
      </c>
      <c r="C232" t="inlineStr">
        <is>
          <t>SURGICAL DRESSING HOLDER, REUSABLE, EACH</t>
        </is>
      </c>
      <c r="D232" t="n">
        <v>3</v>
      </c>
      <c r="E232" s="2" t="n">
        <v>18.6</v>
      </c>
      <c r="F232" t="inlineStr"/>
      <c r="G232" s="2" t="inlineStr"/>
      <c r="H232" t="inlineStr"/>
      <c r="I232" s="2" t="inlineStr"/>
      <c r="J232" t="inlineStr"/>
      <c r="K232" s="2" t="inlineStr"/>
      <c r="L232" t="inlineStr"/>
      <c r="M232" s="2" t="inlineStr"/>
      <c r="N232" s="2" t="inlineStr"/>
      <c r="O232" s="2">
        <f>IF(P232=J232,I232,IF(P232=L232,K232,M232))</f>
        <v/>
      </c>
      <c r="P232" s="3">
        <f>MIN(J232,L232,N232)</f>
        <v/>
      </c>
      <c r="Q232">
        <f>G232*P232</f>
        <v/>
      </c>
      <c r="R232">
        <f>IF(ISBLANK(H232),0,G232*H232)</f>
        <v/>
      </c>
      <c r="S232">
        <f>IF(R232=0,0,(R232-Q232)/R232)</f>
        <v/>
      </c>
    </row>
    <row r="233">
      <c r="A233" t="inlineStr">
        <is>
          <t>A4461</t>
        </is>
      </c>
      <c r="B233" t="inlineStr">
        <is>
          <t>S01</t>
        </is>
      </c>
      <c r="C233" t="inlineStr">
        <is>
          <t>SURGICAL DRESSING HOLDER, NON-REUSABLE, EACH</t>
        </is>
      </c>
      <c r="D233" t="n">
        <v>3</v>
      </c>
      <c r="E233" s="2" t="n">
        <v>4.61</v>
      </c>
      <c r="F233" t="inlineStr"/>
      <c r="G233" s="2" t="inlineStr"/>
      <c r="H233" t="inlineStr"/>
      <c r="I233" s="2" t="inlineStr"/>
      <c r="J233" t="inlineStr"/>
      <c r="K233" s="2" t="inlineStr"/>
      <c r="L233" t="inlineStr"/>
      <c r="M233" s="2" t="inlineStr"/>
      <c r="N233" s="2" t="inlineStr"/>
      <c r="O233" s="2">
        <f>IF(P233=J233,I233,IF(P233=L233,K233,M233))</f>
        <v/>
      </c>
      <c r="P233" s="3">
        <f>MIN(J233,L233,N233)</f>
        <v/>
      </c>
      <c r="Q233">
        <f>G233*P233</f>
        <v/>
      </c>
      <c r="R233">
        <f>IF(ISBLANK(H233),0,G233*H233)</f>
        <v/>
      </c>
      <c r="S233">
        <f>IF(R233=0,0,(R233-Q233)/R233)</f>
        <v/>
      </c>
    </row>
    <row r="234">
      <c r="A234" t="inlineStr">
        <is>
          <t>A6402</t>
        </is>
      </c>
      <c r="B234" t="inlineStr">
        <is>
          <t>S01</t>
        </is>
      </c>
      <c r="C234" t="inlineStr">
        <is>
          <t>GAUZE, NON-IMPREGNATED, STERILE, PAD SIZE 16 SQ. IN. OR LESS, WITHOUT ADHESIVE BORDER, EACH DRESSING</t>
        </is>
      </c>
      <c r="D234" t="n">
        <v>3</v>
      </c>
      <c r="E234" s="2" t="n">
        <v>0.15</v>
      </c>
      <c r="F234" t="inlineStr"/>
      <c r="G234" s="2" t="inlineStr"/>
      <c r="H234" t="inlineStr"/>
      <c r="I234" s="2" t="inlineStr"/>
      <c r="J234" t="inlineStr"/>
      <c r="K234" s="2" t="inlineStr"/>
      <c r="L234" t="inlineStr"/>
      <c r="M234" s="2" t="inlineStr"/>
      <c r="N234" s="2" t="inlineStr"/>
      <c r="O234" s="2">
        <f>IF(P234=J234,I234,IF(P234=L234,K234,M234))</f>
        <v/>
      </c>
      <c r="P234" s="3">
        <f>MIN(J234,L234,N234)</f>
        <v/>
      </c>
      <c r="Q234">
        <f>G234*P234</f>
        <v/>
      </c>
      <c r="R234">
        <f>IF(ISBLANK(H234),0,G234*H234)</f>
        <v/>
      </c>
      <c r="S234">
        <f>IF(R234=0,0,(R234-Q234)/R234)</f>
        <v/>
      </c>
    </row>
    <row r="235">
      <c r="A235" t="inlineStr">
        <is>
          <t>A6448</t>
        </is>
      </c>
      <c r="B235" t="inlineStr">
        <is>
          <t>S01</t>
        </is>
      </c>
      <c r="C235" t="inlineStr">
        <is>
          <t>LIGHT COMPRESSION BANDAGE, ELASTIC, KNITTED/WOVEN, WIDTH LESS THAN THREE INCHES, PER YARD</t>
        </is>
      </c>
      <c r="D235" t="n">
        <v>3</v>
      </c>
      <c r="E235" s="2" t="n">
        <v>1.61</v>
      </c>
      <c r="F235" t="inlineStr"/>
      <c r="G235" s="2" t="inlineStr"/>
      <c r="H235" t="inlineStr"/>
      <c r="I235" s="2" t="inlineStr"/>
      <c r="J235" t="inlineStr"/>
      <c r="K235" s="2" t="inlineStr"/>
      <c r="L235" t="inlineStr"/>
      <c r="M235" s="2" t="inlineStr"/>
      <c r="N235" s="2" t="inlineStr"/>
      <c r="O235" s="2">
        <f>IF(P235=J235,I235,IF(P235=L235,K235,M235))</f>
        <v/>
      </c>
      <c r="P235" s="3">
        <f>MIN(J235,L235,N235)</f>
        <v/>
      </c>
      <c r="Q235">
        <f>G235*P235</f>
        <v/>
      </c>
      <c r="R235">
        <f>IF(ISBLANK(H235),0,G235*H235)</f>
        <v/>
      </c>
      <c r="S235">
        <f>IF(R235=0,0,(R235-Q235)/R235)</f>
        <v/>
      </c>
    </row>
    <row r="236">
      <c r="A236" t="inlineStr">
        <is>
          <t>A6578</t>
        </is>
      </c>
      <c r="B236" t="inlineStr">
        <is>
          <t>S04</t>
        </is>
      </c>
      <c r="C236" t="inlineStr">
        <is>
          <t>GRADIENT  COMPRESSION ARM SLEEVE, EACH</t>
        </is>
      </c>
      <c r="D236" t="n">
        <v>3</v>
      </c>
      <c r="E236" s="2" t="n">
        <v>77.45999999999999</v>
      </c>
      <c r="F236" t="inlineStr"/>
      <c r="G236" s="2" t="inlineStr"/>
      <c r="H236" t="inlineStr"/>
      <c r="I236" s="2" t="inlineStr"/>
      <c r="J236" t="inlineStr"/>
      <c r="K236" s="2" t="inlineStr"/>
      <c r="L236" t="inlineStr"/>
      <c r="M236" s="2" t="inlineStr"/>
      <c r="N236" s="2" t="inlineStr"/>
      <c r="O236" s="2">
        <f>IF(P236=J236,I236,IF(P236=L236,K236,M236))</f>
        <v/>
      </c>
      <c r="P236" s="3">
        <f>MIN(J236,L236,N236)</f>
        <v/>
      </c>
      <c r="Q236">
        <f>G236*P236</f>
        <v/>
      </c>
      <c r="R236">
        <f>IF(ISBLANK(H236),0,G236*H236)</f>
        <v/>
      </c>
      <c r="S236">
        <f>IF(R236=0,0,(R236-Q236)/R236)</f>
        <v/>
      </c>
    </row>
    <row r="237">
      <c r="A237" t="inlineStr">
        <is>
          <t>A6577</t>
        </is>
      </c>
      <c r="B237" t="inlineStr">
        <is>
          <t>S04</t>
        </is>
      </c>
      <c r="C237" t="inlineStr">
        <is>
          <t>GRADIENT  COMPRESSION ARM SLEEVE, CUSTOM, HEAVY WEIGHT, EACH</t>
        </is>
      </c>
      <c r="D237" t="n">
        <v>3</v>
      </c>
      <c r="E237" s="2" t="n">
        <v>157.28</v>
      </c>
      <c r="F237" t="inlineStr"/>
      <c r="G237" s="2" t="inlineStr"/>
      <c r="H237" t="inlineStr"/>
      <c r="I237" s="2" t="inlineStr"/>
      <c r="J237" t="inlineStr"/>
      <c r="K237" s="2" t="inlineStr"/>
      <c r="L237" t="inlineStr"/>
      <c r="M237" s="2" t="inlineStr"/>
      <c r="N237" s="2" t="inlineStr"/>
      <c r="O237" s="2">
        <f>IF(P237=J237,I237,IF(P237=L237,K237,M237))</f>
        <v/>
      </c>
      <c r="P237" s="3">
        <f>MIN(J237,L237,N237)</f>
        <v/>
      </c>
      <c r="Q237">
        <f>G237*P237</f>
        <v/>
      </c>
      <c r="R237">
        <f>IF(ISBLANK(H237),0,G237*H237)</f>
        <v/>
      </c>
      <c r="S237">
        <f>IF(R237=0,0,(R237-Q237)/R237)</f>
        <v/>
      </c>
    </row>
    <row r="238">
      <c r="A238" t="inlineStr">
        <is>
          <t>A6533</t>
        </is>
      </c>
      <c r="B238" t="inlineStr">
        <is>
          <t>S04</t>
        </is>
      </c>
      <c r="C238" t="inlineStr">
        <is>
          <t>GRADIENT COMPRESSION STOCKING, THIGH LENGTH, 18-30 MMHG, EACH</t>
        </is>
      </c>
      <c r="D238" t="n">
        <v>3</v>
      </c>
      <c r="E238" s="2" t="n">
        <v>53.42</v>
      </c>
      <c r="F238" t="inlineStr"/>
      <c r="G238" s="2" t="inlineStr"/>
      <c r="H238" t="inlineStr"/>
      <c r="I238" s="2" t="inlineStr"/>
      <c r="J238" t="inlineStr"/>
      <c r="K238" s="2" t="inlineStr"/>
      <c r="L238" t="inlineStr"/>
      <c r="M238" s="2" t="inlineStr"/>
      <c r="N238" s="2" t="inlineStr"/>
      <c r="O238" s="2">
        <f>IF(P238=J238,I238,IF(P238=L238,K238,M238))</f>
        <v/>
      </c>
      <c r="P238" s="3">
        <f>MIN(J238,L238,N238)</f>
        <v/>
      </c>
      <c r="Q238">
        <f>G238*P238</f>
        <v/>
      </c>
      <c r="R238">
        <f>IF(ISBLANK(H238),0,G238*H238)</f>
        <v/>
      </c>
      <c r="S238">
        <f>IF(R238=0,0,(R238-Q238)/R238)</f>
        <v/>
      </c>
    </row>
    <row r="239">
      <c r="A239" t="inlineStr">
        <is>
          <t>A6010</t>
        </is>
      </c>
      <c r="B239" t="inlineStr">
        <is>
          <t>S01</t>
        </is>
      </c>
      <c r="C239" t="inlineStr">
        <is>
          <t>COLLAGEN BASED WOUND FILLER, DRY FORM, STERILE, PER GRAM OF COLLAGEN</t>
        </is>
      </c>
      <c r="D239" t="n">
        <v>3</v>
      </c>
      <c r="E239" s="2" t="n">
        <v>43.27</v>
      </c>
      <c r="F239" t="inlineStr"/>
      <c r="G239" s="2" t="inlineStr"/>
      <c r="H239" t="inlineStr"/>
      <c r="I239" s="2" t="inlineStr"/>
      <c r="J239" t="inlineStr"/>
      <c r="K239" s="2" t="inlineStr"/>
      <c r="L239" t="inlineStr"/>
      <c r="M239" s="2" t="inlineStr"/>
      <c r="N239" s="2" t="inlineStr"/>
      <c r="O239" s="2">
        <f>IF(P239=J239,I239,IF(P239=L239,K239,M239))</f>
        <v/>
      </c>
      <c r="P239" s="3">
        <f>MIN(J239,L239,N239)</f>
        <v/>
      </c>
      <c r="Q239">
        <f>G239*P239</f>
        <v/>
      </c>
      <c r="R239">
        <f>IF(ISBLANK(H239),0,G239*H239)</f>
        <v/>
      </c>
      <c r="S239">
        <f>IF(R239=0,0,(R239-Q239)/R239)</f>
        <v/>
      </c>
    </row>
    <row r="240">
      <c r="A240" t="inlineStr">
        <is>
          <t>A6011</t>
        </is>
      </c>
      <c r="B240" t="inlineStr">
        <is>
          <t>S01</t>
        </is>
      </c>
      <c r="C240" t="inlineStr">
        <is>
          <t>COLLAGEN BASED WOUND FILLER, GEL/PASTE, PER GRAM OF COLLAGEN</t>
        </is>
      </c>
      <c r="D240" t="n">
        <v>3</v>
      </c>
      <c r="E240" s="2" t="n">
        <v>3.19</v>
      </c>
      <c r="F240" t="inlineStr"/>
      <c r="G240" s="2" t="inlineStr"/>
      <c r="H240" t="inlineStr"/>
      <c r="I240" s="2" t="inlineStr"/>
      <c r="J240" t="inlineStr"/>
      <c r="K240" s="2" t="inlineStr"/>
      <c r="L240" t="inlineStr"/>
      <c r="M240" s="2" t="inlineStr"/>
      <c r="N240" s="2" t="inlineStr"/>
      <c r="O240" s="2">
        <f>IF(P240=J240,I240,IF(P240=L240,K240,M240))</f>
        <v/>
      </c>
      <c r="P240" s="3">
        <f>MIN(J240,L240,N240)</f>
        <v/>
      </c>
      <c r="Q240">
        <f>G240*P240</f>
        <v/>
      </c>
      <c r="R240">
        <f>IF(ISBLANK(H240),0,G240*H240)</f>
        <v/>
      </c>
      <c r="S240">
        <f>IF(R240=0,0,(R240-Q240)/R240)</f>
        <v/>
      </c>
    </row>
    <row r="241">
      <c r="A241" t="inlineStr">
        <is>
          <t>A6021</t>
        </is>
      </c>
      <c r="B241" t="inlineStr">
        <is>
          <t>S01</t>
        </is>
      </c>
      <c r="C241" t="inlineStr">
        <is>
          <t>COLLAGEN DRESSING, STERILE, SIZE 16 SQ. IN. OR LESS, EACH</t>
        </is>
      </c>
      <c r="D241" t="n">
        <v>3</v>
      </c>
      <c r="E241" s="2" t="n">
        <v>29.38</v>
      </c>
      <c r="F241" t="inlineStr"/>
      <c r="G241" s="2" t="inlineStr"/>
      <c r="H241" t="inlineStr"/>
      <c r="I241" s="2" t="inlineStr"/>
      <c r="J241" t="inlineStr"/>
      <c r="K241" s="2" t="inlineStr"/>
      <c r="L241" t="inlineStr"/>
      <c r="M241" s="2" t="inlineStr"/>
      <c r="N241" s="2" t="inlineStr"/>
      <c r="O241" s="2">
        <f>IF(P241=J241,I241,IF(P241=L241,K241,M241))</f>
        <v/>
      </c>
      <c r="P241" s="3">
        <f>MIN(J241,L241,N241)</f>
        <v/>
      </c>
      <c r="Q241">
        <f>G241*P241</f>
        <v/>
      </c>
      <c r="R241">
        <f>IF(ISBLANK(H241),0,G241*H241)</f>
        <v/>
      </c>
      <c r="S241">
        <f>IF(R241=0,0,(R241-Q241)/R241)</f>
        <v/>
      </c>
    </row>
    <row r="242">
      <c r="A242" t="inlineStr">
        <is>
          <t>A6449</t>
        </is>
      </c>
      <c r="B242" t="inlineStr">
        <is>
          <t>S01</t>
        </is>
      </c>
      <c r="C242" t="inlineStr">
        <is>
          <t>LIGHT COMPRESSION BANDAGE, ELASTIC, KNITTED/WOVEN, WIDTH GREATER THAN OR EQUAL TO THREE INCHES AND LESS THAN FIVE INCHES, PER YARD</t>
        </is>
      </c>
      <c r="D242" t="n">
        <v>3</v>
      </c>
      <c r="E242" s="2" t="n">
        <v>2.45</v>
      </c>
      <c r="F242" t="inlineStr"/>
      <c r="G242" s="2" t="inlineStr"/>
      <c r="H242" t="inlineStr"/>
      <c r="I242" s="2" t="inlineStr"/>
      <c r="J242" t="inlineStr"/>
      <c r="K242" s="2" t="inlineStr"/>
      <c r="L242" t="inlineStr"/>
      <c r="M242" s="2" t="inlineStr"/>
      <c r="N242" s="2" t="inlineStr"/>
      <c r="O242" s="2">
        <f>IF(P242=J242,I242,IF(P242=L242,K242,M242))</f>
        <v/>
      </c>
      <c r="P242" s="3">
        <f>MIN(J242,L242,N242)</f>
        <v/>
      </c>
      <c r="Q242">
        <f>G242*P242</f>
        <v/>
      </c>
      <c r="R242">
        <f>IF(ISBLANK(H242),0,G242*H242)</f>
        <v/>
      </c>
      <c r="S242">
        <f>IF(R242=0,0,(R242-Q242)/R242)</f>
        <v/>
      </c>
    </row>
    <row r="243">
      <c r="A243" t="inlineStr">
        <is>
          <t>A4360</t>
        </is>
      </c>
      <c r="B243" t="inlineStr">
        <is>
          <t>PD09</t>
        </is>
      </c>
      <c r="C243" t="inlineStr">
        <is>
          <t>DISPOSABLE EXTERNAL URETHRAL CLAMP OR COMPRESSION DEVICE, WITH PAD AND/OR POUCH, EACH</t>
        </is>
      </c>
      <c r="D243" t="n">
        <v>3</v>
      </c>
      <c r="E243" s="2" t="n">
        <v>0.59</v>
      </c>
      <c r="F243" t="inlineStr"/>
      <c r="G243" s="2" t="inlineStr"/>
      <c r="H243" t="inlineStr"/>
      <c r="I243" s="2" t="inlineStr"/>
      <c r="J243" t="inlineStr"/>
      <c r="K243" s="2" t="inlineStr"/>
      <c r="L243" t="inlineStr"/>
      <c r="M243" s="2" t="inlineStr"/>
      <c r="N243" s="2" t="inlineStr"/>
      <c r="O243" s="2">
        <f>IF(P243=J243,I243,IF(P243=L243,K243,M243))</f>
        <v/>
      </c>
      <c r="P243" s="3">
        <f>MIN(J243,L243,N243)</f>
        <v/>
      </c>
      <c r="Q243">
        <f>G243*P243</f>
        <v/>
      </c>
      <c r="R243">
        <f>IF(ISBLANK(H243),0,G243*H243)</f>
        <v/>
      </c>
      <c r="S243">
        <f>IF(R243=0,0,(R243-Q243)/R243)</f>
        <v/>
      </c>
    </row>
    <row r="244">
      <c r="A244" t="inlineStr">
        <is>
          <t>A6452</t>
        </is>
      </c>
      <c r="B244" t="inlineStr">
        <is>
          <t>S01</t>
        </is>
      </c>
      <c r="C244" t="inlineStr">
        <is>
          <t>HIGH COMPRESSION BANDAGE, ELASTIC, KNITTED/WOVEN, LOAD RESISTANCE GREATER THAN OR EQUAL TO 1.35 FOOT POUNDS AT 50% MAXIMUM STRETCH, WIDTH GREATER THAN OR EQUAL TO THREE INCHES AND LESS THAN FIVE INCHES, PER YARD</t>
        </is>
      </c>
      <c r="D244" t="n">
        <v>3</v>
      </c>
      <c r="E244" s="2" t="n">
        <v>8.24</v>
      </c>
      <c r="F244" t="inlineStr"/>
      <c r="G244" s="2" t="inlineStr"/>
      <c r="H244" t="inlineStr"/>
      <c r="I244" s="2" t="inlineStr"/>
      <c r="J244" t="inlineStr"/>
      <c r="K244" s="2" t="inlineStr"/>
      <c r="L244" t="inlineStr"/>
      <c r="M244" s="2" t="inlineStr"/>
      <c r="N244" s="2" t="inlineStr"/>
      <c r="O244" s="2">
        <f>IF(P244=J244,I244,IF(P244=L244,K244,M244))</f>
        <v/>
      </c>
      <c r="P244" s="3">
        <f>MIN(J244,L244,N244)</f>
        <v/>
      </c>
      <c r="Q244">
        <f>G244*P244</f>
        <v/>
      </c>
      <c r="R244">
        <f>IF(ISBLANK(H244),0,G244*H244)</f>
        <v/>
      </c>
      <c r="S244">
        <f>IF(R244=0,0,(R244-Q244)/R244)</f>
        <v/>
      </c>
    </row>
    <row r="245">
      <c r="A245" t="inlineStr">
        <is>
          <t>A6453</t>
        </is>
      </c>
      <c r="B245" t="inlineStr">
        <is>
          <t>S01</t>
        </is>
      </c>
      <c r="C245" t="inlineStr">
        <is>
          <t>SELF-ADHERENT BANDAGE, ELASTIC, NON-KNITTED/NON-WOVEN, WIDTH LESS THAN THREE INCHES, PER YARD</t>
        </is>
      </c>
      <c r="D245" t="n">
        <v>3</v>
      </c>
      <c r="E245" s="2" t="n">
        <v>0.88</v>
      </c>
      <c r="F245" t="inlineStr"/>
      <c r="G245" s="2" t="inlineStr"/>
      <c r="H245" t="inlineStr"/>
      <c r="I245" s="2" t="inlineStr"/>
      <c r="J245" t="inlineStr"/>
      <c r="K245" s="2" t="inlineStr"/>
      <c r="L245" t="inlineStr"/>
      <c r="M245" s="2" t="inlineStr"/>
      <c r="N245" s="2" t="inlineStr"/>
      <c r="O245" s="2">
        <f>IF(P245=J245,I245,IF(P245=L245,K245,M245))</f>
        <v/>
      </c>
      <c r="P245" s="3">
        <f>MIN(J245,L245,N245)</f>
        <v/>
      </c>
      <c r="Q245">
        <f>G245*P245</f>
        <v/>
      </c>
      <c r="R245">
        <f>IF(ISBLANK(H245),0,G245*H245)</f>
        <v/>
      </c>
      <c r="S245">
        <f>IF(R245=0,0,(R245-Q245)/R245)</f>
        <v/>
      </c>
    </row>
    <row r="246">
      <c r="A246" t="inlineStr">
        <is>
          <t>B4150</t>
        </is>
      </c>
      <c r="B246" t="inlineStr">
        <is>
          <t>PE03</t>
        </is>
      </c>
      <c r="C246" t="inlineStr">
        <is>
          <t>ENTERAL FORMULA, NUTRITIONALLY COMPLETE WITH INTACT NUTRIENTS, INCLUDES PROTEINS, FATS, CARBOHYDRATES, VITAMINS AND MINERALS, MAY INCLUDE FIBER, ADMINISTERED THROUGH AN ENTERAL FEEDING TUBE, 100 CALORIES = 1 UNIT</t>
        </is>
      </c>
      <c r="D246" t="n">
        <v>40</v>
      </c>
      <c r="E246" s="2" t="n">
        <v>0.46</v>
      </c>
      <c r="F246" t="inlineStr"/>
      <c r="G246" s="2" t="inlineStr"/>
      <c r="H246" t="inlineStr"/>
      <c r="I246" s="2" t="inlineStr"/>
      <c r="J246" t="inlineStr"/>
      <c r="K246" s="2" t="inlineStr"/>
      <c r="L246" t="inlineStr"/>
      <c r="M246" s="2" t="inlineStr"/>
      <c r="N246" s="2" t="inlineStr"/>
      <c r="O246" s="2">
        <f>IF(P246=J246,I246,IF(P246=L246,K246,M246))</f>
        <v/>
      </c>
      <c r="P246" s="3">
        <f>MIN(J246,L246,N246)</f>
        <v/>
      </c>
      <c r="Q246">
        <f>G246*P246</f>
        <v/>
      </c>
      <c r="R246">
        <f>IF(ISBLANK(H246),0,G246*H246)</f>
        <v/>
      </c>
      <c r="S246">
        <f>IF(R246=0,0,(R246-Q246)/R246)</f>
        <v/>
      </c>
    </row>
    <row r="247">
      <c r="A247" t="inlineStr">
        <is>
          <t>A6534</t>
        </is>
      </c>
      <c r="B247" t="inlineStr">
        <is>
          <t>S01</t>
        </is>
      </c>
      <c r="C247" t="inlineStr">
        <is>
          <t>GRADIENT COMPRESSION STOCKING, THIGH LENGTH, 30-40 MMHG, EACH</t>
        </is>
      </c>
      <c r="D247" t="n">
        <v>3</v>
      </c>
      <c r="E247" s="2" t="n">
        <v>61</v>
      </c>
      <c r="F247" t="inlineStr"/>
      <c r="G247" s="2" t="inlineStr"/>
      <c r="H247" t="inlineStr"/>
      <c r="I247" s="2" t="inlineStr"/>
      <c r="J247" t="inlineStr"/>
      <c r="K247" s="2" t="inlineStr"/>
      <c r="L247" t="inlineStr"/>
      <c r="M247" s="2" t="inlineStr"/>
      <c r="N247" s="2" t="inlineStr"/>
      <c r="O247" s="2">
        <f>IF(P247=J247,I247,IF(P247=L247,K247,M247))</f>
        <v/>
      </c>
      <c r="P247" s="3">
        <f>MIN(J247,L247,N247)</f>
        <v/>
      </c>
      <c r="Q247">
        <f>G247*P247</f>
        <v/>
      </c>
      <c r="R247">
        <f>IF(ISBLANK(H247),0,G247*H247)</f>
        <v/>
      </c>
      <c r="S247">
        <f>IF(R247=0,0,(R247-Q247)/R247)</f>
        <v/>
      </c>
    </row>
    <row r="248">
      <c r="A248" t="inlineStr">
        <is>
          <t>A6535</t>
        </is>
      </c>
      <c r="B248" t="inlineStr">
        <is>
          <t>S01</t>
        </is>
      </c>
      <c r="C248" t="inlineStr">
        <is>
          <t>GRADIENT COMPRESSION STOCKING, THIGH LENGTH, 40 MMHG OR GREATER, EACH</t>
        </is>
      </c>
      <c r="D248" t="n">
        <v>3</v>
      </c>
      <c r="E248" s="2" t="n">
        <v>70.23</v>
      </c>
      <c r="F248" t="inlineStr"/>
      <c r="G248" s="2" t="inlineStr"/>
      <c r="H248" t="inlineStr"/>
      <c r="I248" s="2" t="inlineStr"/>
      <c r="J248" t="inlineStr"/>
      <c r="K248" s="2" t="inlineStr"/>
      <c r="L248" t="inlineStr"/>
      <c r="M248" s="2" t="inlineStr"/>
      <c r="N248" s="2" t="inlineStr"/>
      <c r="O248" s="2">
        <f>IF(P248=J248,I248,IF(P248=L248,K248,M248))</f>
        <v/>
      </c>
      <c r="P248" s="3">
        <f>MIN(J248,L248,N248)</f>
        <v/>
      </c>
      <c r="Q248">
        <f>G248*P248</f>
        <v/>
      </c>
      <c r="R248">
        <f>IF(ISBLANK(H248),0,G248*H248)</f>
        <v/>
      </c>
      <c r="S248">
        <f>IF(R248=0,0,(R248-Q248)/R248)</f>
        <v/>
      </c>
    </row>
    <row r="249">
      <c r="A249" t="inlineStr">
        <is>
          <t>A6576</t>
        </is>
      </c>
      <c r="B249" t="inlineStr">
        <is>
          <t>S04</t>
        </is>
      </c>
      <c r="C249" t="inlineStr">
        <is>
          <t>GRADIENT  COMPRESSION ARM SLEEVE, CUSTOM, MEDIUM WEIGHT, EACH</t>
        </is>
      </c>
      <c r="D249" t="n">
        <v>3</v>
      </c>
      <c r="E249" s="2" t="n">
        <v>190.03</v>
      </c>
      <c r="F249" t="inlineStr"/>
      <c r="G249" s="2" t="inlineStr"/>
      <c r="H249" t="inlineStr"/>
      <c r="I249" s="2" t="inlineStr"/>
      <c r="J249" t="inlineStr"/>
      <c r="K249" s="2" t="inlineStr"/>
      <c r="L249" t="inlineStr"/>
      <c r="M249" s="2" t="inlineStr"/>
      <c r="N249" s="2" t="inlineStr"/>
      <c r="O249" s="2">
        <f>IF(P249=J249,I249,IF(P249=L249,K249,M249))</f>
        <v/>
      </c>
      <c r="P249" s="3">
        <f>MIN(J249,L249,N249)</f>
        <v/>
      </c>
      <c r="Q249">
        <f>G249*P249</f>
        <v/>
      </c>
      <c r="R249">
        <f>IF(ISBLANK(H249),0,G249*H249)</f>
        <v/>
      </c>
      <c r="S249">
        <f>IF(R249=0,0,(R249-Q249)/R249)</f>
        <v/>
      </c>
    </row>
    <row r="250">
      <c r="A250" t="inlineStr">
        <is>
          <t>A6450</t>
        </is>
      </c>
      <c r="B250" t="inlineStr">
        <is>
          <t>S01</t>
        </is>
      </c>
      <c r="C250" t="inlineStr">
        <is>
          <t>LIGHT COMPRESSION BANDAGE, ELASTIC, KNITTED/WOVEN, WIDTH GREATER THAN OR EQUAL TO FIVE INCHES, PER YARD</t>
        </is>
      </c>
      <c r="D250" t="n">
        <v>3</v>
      </c>
      <c r="E250" s="2" t="n">
        <v>2.45</v>
      </c>
      <c r="F250" t="inlineStr"/>
      <c r="G250" s="2" t="inlineStr"/>
      <c r="H250" t="inlineStr"/>
      <c r="I250" s="2" t="inlineStr"/>
      <c r="J250" t="inlineStr"/>
      <c r="K250" s="2" t="inlineStr"/>
      <c r="L250" t="inlineStr"/>
      <c r="M250" s="2" t="inlineStr"/>
      <c r="N250" s="2" t="inlineStr"/>
      <c r="O250" s="2">
        <f>IF(P250=J250,I250,IF(P250=L250,K250,M250))</f>
        <v/>
      </c>
      <c r="P250" s="3">
        <f>MIN(J250,L250,N250)</f>
        <v/>
      </c>
      <c r="Q250">
        <f>G250*P250</f>
        <v/>
      </c>
      <c r="R250">
        <f>IF(ISBLANK(H250),0,G250*H250)</f>
        <v/>
      </c>
      <c r="S250">
        <f>IF(R250=0,0,(R250-Q250)/R250)</f>
        <v/>
      </c>
    </row>
    <row r="251">
      <c r="A251" t="inlineStr">
        <is>
          <t>A6451</t>
        </is>
      </c>
      <c r="B251" t="inlineStr">
        <is>
          <t>S01</t>
        </is>
      </c>
      <c r="C251" t="inlineStr">
        <is>
          <t>MODERATE COMPRESSION BANDAGE, ELASTIC, KNITTED/WOVEN, LOAD RESISTANCE OF 1.25 TO 1.34 FOOT POUNDS AT 50% MAXIMUM STRETCH, WIDTH GREATER THAN OR EQUAL TO THREE INCHES AND LESS THAN FIVE INCHES, PER YARD</t>
        </is>
      </c>
      <c r="D251" t="n">
        <v>3</v>
      </c>
      <c r="E251" s="2" t="n">
        <v>2.45</v>
      </c>
      <c r="F251" t="inlineStr"/>
      <c r="G251" s="2" t="inlineStr"/>
      <c r="H251" t="inlineStr"/>
      <c r="I251" s="2" t="inlineStr"/>
      <c r="J251" t="inlineStr"/>
      <c r="K251" s="2" t="inlineStr"/>
      <c r="L251" t="inlineStr"/>
      <c r="M251" s="2" t="inlineStr"/>
      <c r="N251" s="2" t="inlineStr"/>
      <c r="O251" s="2">
        <f>IF(P251=J251,I251,IF(P251=L251,K251,M251))</f>
        <v/>
      </c>
      <c r="P251" s="3">
        <f>MIN(J251,L251,N251)</f>
        <v/>
      </c>
      <c r="Q251">
        <f>G251*P251</f>
        <v/>
      </c>
      <c r="R251">
        <f>IF(ISBLANK(H251),0,G251*H251)</f>
        <v/>
      </c>
      <c r="S251">
        <f>IF(R251=0,0,(R251-Q251)/R251)</f>
        <v/>
      </c>
    </row>
    <row r="252">
      <c r="A252" t="inlineStr">
        <is>
          <t>A6456</t>
        </is>
      </c>
      <c r="B252" t="inlineStr">
        <is>
          <t>S01</t>
        </is>
      </c>
      <c r="C252" t="inlineStr">
        <is>
          <t>ZINC PASTE IMPREGNATED BANDAGE, NON-ELASTIC, KNITTED/WOVEN, WIDTH GREATER THAN OR EQUAL TO THREE INCHES AND LESS THAN FIVE INCHES, PER YARD</t>
        </is>
      </c>
      <c r="D252" t="n">
        <v>3</v>
      </c>
      <c r="E252" s="2" t="n">
        <v>1.75</v>
      </c>
      <c r="F252" t="inlineStr"/>
      <c r="G252" s="2" t="inlineStr"/>
      <c r="H252" t="inlineStr"/>
      <c r="I252" s="2" t="inlineStr"/>
      <c r="J252" t="inlineStr"/>
      <c r="K252" s="2" t="inlineStr"/>
      <c r="L252" t="inlineStr"/>
      <c r="M252" s="2" t="inlineStr"/>
      <c r="N252" s="2" t="inlineStr"/>
      <c r="O252" s="2">
        <f>IF(P252=J252,I252,IF(P252=L252,K252,M252))</f>
        <v/>
      </c>
      <c r="P252" s="3">
        <f>MIN(J252,L252,N252)</f>
        <v/>
      </c>
      <c r="Q252">
        <f>G252*P252</f>
        <v/>
      </c>
      <c r="R252">
        <f>IF(ISBLANK(H252),0,G252*H252)</f>
        <v/>
      </c>
      <c r="S252">
        <f>IF(R252=0,0,(R252-Q252)/R252)</f>
        <v/>
      </c>
    </row>
    <row r="253">
      <c r="A253" t="inlineStr">
        <is>
          <t>A6441</t>
        </is>
      </c>
      <c r="B253" t="inlineStr">
        <is>
          <t>S01</t>
        </is>
      </c>
      <c r="C253" t="inlineStr">
        <is>
          <t>PADDING BANDAGE, NON-ELASTIC, NON-WOVEN/NON-KNITTED, WIDTH GREATER THAN OR EQUAL TO THREE INCHES AND LESS THAN FIVE INCHES, PER YARD</t>
        </is>
      </c>
      <c r="D253" t="n">
        <v>3</v>
      </c>
      <c r="E253" s="2" t="n">
        <v>0.95</v>
      </c>
      <c r="F253" t="inlineStr"/>
      <c r="G253" s="2" t="inlineStr"/>
      <c r="H253" t="inlineStr"/>
      <c r="I253" s="2" t="inlineStr"/>
      <c r="J253" t="inlineStr"/>
      <c r="K253" s="2" t="inlineStr"/>
      <c r="L253" t="inlineStr"/>
      <c r="M253" s="2" t="inlineStr"/>
      <c r="N253" s="2" t="inlineStr"/>
      <c r="O253" s="2">
        <f>IF(P253=J253,I253,IF(P253=L253,K253,M253))</f>
        <v/>
      </c>
      <c r="P253" s="3">
        <f>MIN(J253,L253,N253)</f>
        <v/>
      </c>
      <c r="Q253">
        <f>G253*P253</f>
        <v/>
      </c>
      <c r="R253">
        <f>IF(ISBLANK(H253),0,G253*H253)</f>
        <v/>
      </c>
      <c r="S253">
        <f>IF(R253=0,0,(R253-Q253)/R253)</f>
        <v/>
      </c>
    </row>
    <row r="254">
      <c r="A254" t="inlineStr">
        <is>
          <t>A6455</t>
        </is>
      </c>
      <c r="B254" t="inlineStr">
        <is>
          <t>S01</t>
        </is>
      </c>
      <c r="C254" t="inlineStr">
        <is>
          <t>SELF-ADHERENT BANDAGE, ELASTIC, NON-KNITTED/NON-WOVEN, WIDTH GREATER THAN OR EQUAL TO FIVE INCHES, PER YARD</t>
        </is>
      </c>
      <c r="D254" t="n">
        <v>3</v>
      </c>
      <c r="E254" s="2" t="n">
        <v>1.95</v>
      </c>
      <c r="F254" t="inlineStr"/>
      <c r="G254" s="2" t="inlineStr"/>
      <c r="H254" t="inlineStr"/>
      <c r="I254" s="2" t="inlineStr"/>
      <c r="J254" t="inlineStr"/>
      <c r="K254" s="2" t="inlineStr"/>
      <c r="L254" t="inlineStr"/>
      <c r="M254" s="2" t="inlineStr"/>
      <c r="N254" s="2" t="inlineStr"/>
      <c r="O254" s="2">
        <f>IF(P254=J254,I254,IF(P254=L254,K254,M254))</f>
        <v/>
      </c>
      <c r="P254" s="3">
        <f>MIN(J254,L254,N254)</f>
        <v/>
      </c>
      <c r="Q254">
        <f>G254*P254</f>
        <v/>
      </c>
      <c r="R254">
        <f>IF(ISBLANK(H254),0,G254*H254)</f>
        <v/>
      </c>
      <c r="S254">
        <f>IF(R254=0,0,(R254-Q254)/R254)</f>
        <v/>
      </c>
    </row>
    <row r="255">
      <c r="A255" t="inlineStr">
        <is>
          <t>E0154</t>
        </is>
      </c>
      <c r="B255" t="inlineStr">
        <is>
          <t>M05</t>
        </is>
      </c>
      <c r="C255" t="inlineStr">
        <is>
          <t>PLATFORM ATTACHMENT, WALKER, EACH</t>
        </is>
      </c>
      <c r="D255" t="n">
        <v>2</v>
      </c>
      <c r="E255" s="2" t="n">
        <v>59.34</v>
      </c>
      <c r="F255" t="inlineStr"/>
      <c r="G255" s="2" t="inlineStr"/>
      <c r="H255" t="inlineStr"/>
      <c r="I255" s="2" t="inlineStr"/>
      <c r="J255" t="inlineStr"/>
      <c r="K255" s="2" t="inlineStr"/>
      <c r="L255" t="inlineStr"/>
      <c r="M255" s="2" t="inlineStr"/>
      <c r="N255" s="2" t="inlineStr"/>
      <c r="O255" s="2">
        <f>IF(P255=J255,I255,IF(P255=L255,K255,M255))</f>
        <v/>
      </c>
      <c r="P255" s="3">
        <f>MIN(J255,L255,N255)</f>
        <v/>
      </c>
      <c r="Q255">
        <f>G255*P255</f>
        <v/>
      </c>
      <c r="R255">
        <f>IF(ISBLANK(H255),0,G255*H255)</f>
        <v/>
      </c>
      <c r="S255">
        <f>IF(R255=0,0,(R255-Q255)/R255)</f>
        <v/>
      </c>
    </row>
    <row r="256">
      <c r="A256" t="inlineStr">
        <is>
          <t>K0006</t>
        </is>
      </c>
      <c r="B256" t="inlineStr">
        <is>
          <t>M06</t>
        </is>
      </c>
      <c r="C256" t="inlineStr">
        <is>
          <t>HEAVY DUTY WHEELCHAIR</t>
        </is>
      </c>
      <c r="D256" t="n">
        <v>2</v>
      </c>
      <c r="E256" s="2" t="n">
        <v>63.58</v>
      </c>
      <c r="F256" t="inlineStr"/>
      <c r="G256" s="2" t="inlineStr"/>
      <c r="H256" t="inlineStr"/>
      <c r="I256" s="2" t="inlineStr"/>
      <c r="J256" t="inlineStr"/>
      <c r="K256" s="2" t="inlineStr"/>
      <c r="L256" t="inlineStr"/>
      <c r="M256" s="2" t="inlineStr"/>
      <c r="N256" s="2" t="inlineStr"/>
      <c r="O256" s="2">
        <f>IF(P256=J256,I256,IF(P256=L256,K256,M256))</f>
        <v/>
      </c>
      <c r="P256" s="3">
        <f>MIN(J256,L256,N256)</f>
        <v/>
      </c>
      <c r="Q256">
        <f>G256*P256</f>
        <v/>
      </c>
      <c r="R256">
        <f>IF(ISBLANK(H256),0,G256*H256)</f>
        <v/>
      </c>
      <c r="S256">
        <f>IF(R256=0,0,(R256-Q256)/R256)</f>
        <v/>
      </c>
    </row>
    <row r="257">
      <c r="A257" t="inlineStr">
        <is>
          <t>K0003</t>
        </is>
      </c>
      <c r="B257" t="inlineStr">
        <is>
          <t>M06</t>
        </is>
      </c>
      <c r="C257" t="inlineStr">
        <is>
          <t>LIGHTWEIGHT WHEELCHAIR</t>
        </is>
      </c>
      <c r="D257" t="n">
        <v>2</v>
      </c>
      <c r="E257" s="2" t="n">
        <v>32.15</v>
      </c>
      <c r="F257" t="inlineStr"/>
      <c r="G257" s="2" t="inlineStr"/>
      <c r="H257" t="inlineStr"/>
      <c r="I257" s="2" t="inlineStr"/>
      <c r="J257" t="inlineStr"/>
      <c r="K257" s="2" t="inlineStr"/>
      <c r="L257" t="inlineStr"/>
      <c r="M257" s="2" t="inlineStr"/>
      <c r="N257" s="2" t="inlineStr"/>
      <c r="O257" s="2">
        <f>IF(P257=J257,I257,IF(P257=L257,K257,M257))</f>
        <v/>
      </c>
      <c r="P257" s="3">
        <f>MIN(J257,L257,N257)</f>
        <v/>
      </c>
      <c r="Q257">
        <f>G257*P257</f>
        <v/>
      </c>
      <c r="R257">
        <f>IF(ISBLANK(H257),0,G257*H257)</f>
        <v/>
      </c>
      <c r="S257">
        <f>IF(R257=0,0,(R257-Q257)/R257)</f>
        <v/>
      </c>
    </row>
    <row r="258">
      <c r="A258" t="inlineStr">
        <is>
          <t>K0004</t>
        </is>
      </c>
      <c r="B258" t="inlineStr">
        <is>
          <t>M06</t>
        </is>
      </c>
      <c r="C258" t="inlineStr">
        <is>
          <t>HIGH STRENGTH, LIGHTWEIGHT WHEELCHAIR</t>
        </is>
      </c>
      <c r="D258" t="n">
        <v>2</v>
      </c>
      <c r="E258" s="2" t="n">
        <v>45.66</v>
      </c>
      <c r="F258" t="inlineStr"/>
      <c r="G258" s="2" t="inlineStr"/>
      <c r="H258" t="inlineStr"/>
      <c r="I258" s="2" t="inlineStr"/>
      <c r="J258" t="inlineStr"/>
      <c r="K258" s="2" t="inlineStr"/>
      <c r="L258" t="inlineStr"/>
      <c r="M258" s="2" t="inlineStr"/>
      <c r="N258" s="2" t="inlineStr"/>
      <c r="O258" s="2">
        <f>IF(P258=J258,I258,IF(P258=L258,K258,M258))</f>
        <v/>
      </c>
      <c r="P258" s="3">
        <f>MIN(J258,L258,N258)</f>
        <v/>
      </c>
      <c r="Q258">
        <f>G258*P258</f>
        <v/>
      </c>
      <c r="R258">
        <f>IF(ISBLANK(H258),0,G258*H258)</f>
        <v/>
      </c>
      <c r="S258">
        <f>IF(R258=0,0,(R258-Q258)/R258)</f>
        <v/>
      </c>
    </row>
    <row r="259">
      <c r="A259" t="inlineStr">
        <is>
          <t>E0114</t>
        </is>
      </c>
      <c r="B259" t="inlineStr">
        <is>
          <t>M01</t>
        </is>
      </c>
      <c r="C259" t="inlineStr">
        <is>
          <t>CRUTCHES UNDERARM, OTHER THAN WOOD, ADJUSTABLE OR FIXED, PAIR, WITH PADS, TIPS AND HANDGRIPS</t>
        </is>
      </c>
      <c r="D259" t="n">
        <v>2</v>
      </c>
      <c r="E259" s="2" t="n">
        <v>61.45</v>
      </c>
      <c r="F259" t="inlineStr"/>
      <c r="G259" s="2" t="inlineStr"/>
      <c r="H259" t="inlineStr"/>
      <c r="I259" s="2" t="inlineStr"/>
      <c r="J259" t="inlineStr"/>
      <c r="K259" s="2" t="inlineStr"/>
      <c r="L259" t="inlineStr"/>
      <c r="M259" s="2" t="inlineStr"/>
      <c r="N259" s="2" t="inlineStr"/>
      <c r="O259" s="2">
        <f>IF(P259=J259,I259,IF(P259=L259,K259,M259))</f>
        <v/>
      </c>
      <c r="P259" s="3">
        <f>MIN(J259,L259,N259)</f>
        <v/>
      </c>
      <c r="Q259">
        <f>G259*P259</f>
        <v/>
      </c>
      <c r="R259">
        <f>IF(ISBLANK(H259),0,G259*H259)</f>
        <v/>
      </c>
      <c r="S259">
        <f>IF(R259=0,0,(R259-Q259)/R259)</f>
        <v/>
      </c>
    </row>
    <row r="260">
      <c r="A260" t="inlineStr">
        <is>
          <t>E0116</t>
        </is>
      </c>
      <c r="B260" t="inlineStr">
        <is>
          <t>M01</t>
        </is>
      </c>
      <c r="C260" t="inlineStr">
        <is>
          <t>CRUTCH, UNDERARM, OTHER THAN WOOD, ADJUSTABLE OR FIXED, WITH PAD, TIP, HANDGRIP, WITH OR WITHOUT SHOCK ABSORBER, EACH</t>
        </is>
      </c>
      <c r="D260" t="n">
        <v>2</v>
      </c>
      <c r="E260" s="2" t="n">
        <v>32.95</v>
      </c>
      <c r="F260" t="inlineStr"/>
      <c r="G260" s="2" t="inlineStr"/>
      <c r="H260" t="inlineStr"/>
      <c r="I260" s="2" t="inlineStr"/>
      <c r="J260" t="inlineStr"/>
      <c r="K260" s="2" t="inlineStr"/>
      <c r="L260" t="inlineStr"/>
      <c r="M260" s="2" t="inlineStr"/>
      <c r="N260" s="2" t="inlineStr"/>
      <c r="O260" s="2">
        <f>IF(P260=J260,I260,IF(P260=L260,K260,M260))</f>
        <v/>
      </c>
      <c r="P260" s="3">
        <f>MIN(J260,L260,N260)</f>
        <v/>
      </c>
      <c r="Q260">
        <f>G260*P260</f>
        <v/>
      </c>
      <c r="R260">
        <f>IF(ISBLANK(H260),0,G260*H260)</f>
        <v/>
      </c>
      <c r="S260">
        <f>IF(R260=0,0,(R260-Q260)/R260)</f>
        <v/>
      </c>
    </row>
    <row r="261">
      <c r="A261" t="inlineStr">
        <is>
          <t>E0111</t>
        </is>
      </c>
      <c r="B261" t="inlineStr">
        <is>
          <t>M01</t>
        </is>
      </c>
      <c r="C261" t="inlineStr">
        <is>
          <t>CRUTCH FOREARM, INCLUDES CRUTCHES OF VARIOUS MATERIALS, ADJUSTABLE OR FIXED, EACH, WITH TIP AND HANDGRIPS</t>
        </is>
      </c>
      <c r="D261" t="n">
        <v>2</v>
      </c>
      <c r="E261" s="2" t="n">
        <v>70.8</v>
      </c>
      <c r="F261" t="inlineStr"/>
      <c r="G261" s="2" t="inlineStr"/>
      <c r="H261" t="inlineStr"/>
      <c r="I261" s="2" t="inlineStr"/>
      <c r="J261" t="inlineStr"/>
      <c r="K261" s="2" t="inlineStr"/>
      <c r="L261" t="inlineStr"/>
      <c r="M261" s="2" t="inlineStr"/>
      <c r="N261" s="2" t="inlineStr"/>
      <c r="O261" s="2">
        <f>IF(P261=J261,I261,IF(P261=L261,K261,M261))</f>
        <v/>
      </c>
      <c r="P261" s="3">
        <f>MIN(J261,L261,N261)</f>
        <v/>
      </c>
      <c r="Q261">
        <f>G261*P261</f>
        <v/>
      </c>
      <c r="R261">
        <f>IF(ISBLANK(H261),0,G261*H261)</f>
        <v/>
      </c>
      <c r="S261">
        <f>IF(R261=0,0,(R261-Q261)/R261)</f>
        <v/>
      </c>
    </row>
    <row r="262">
      <c r="A262" t="inlineStr">
        <is>
          <t>E0144</t>
        </is>
      </c>
      <c r="B262" t="inlineStr">
        <is>
          <t>M05</t>
        </is>
      </c>
      <c r="C262" t="inlineStr">
        <is>
          <t>WALKER, ENCLOSED, FOUR SIDED FRAMED, RIGID OR FOLDING, WHEELED WITH POSTERIOR SEAT</t>
        </is>
      </c>
      <c r="D262" t="n">
        <v>2</v>
      </c>
      <c r="E262" s="2" t="n">
        <v>33.46</v>
      </c>
      <c r="F262" t="inlineStr"/>
      <c r="G262" s="2" t="inlineStr"/>
      <c r="H262" t="inlineStr"/>
      <c r="I262" s="2" t="inlineStr"/>
      <c r="J262" t="inlineStr"/>
      <c r="K262" s="2" t="inlineStr"/>
      <c r="L262" t="inlineStr"/>
      <c r="M262" s="2" t="inlineStr"/>
      <c r="N262" s="2" t="inlineStr"/>
      <c r="O262" s="2">
        <f>IF(P262=J262,I262,IF(P262=L262,K262,M262))</f>
        <v/>
      </c>
      <c r="P262" s="3">
        <f>MIN(J262,L262,N262)</f>
        <v/>
      </c>
      <c r="Q262">
        <f>G262*P262</f>
        <v/>
      </c>
      <c r="R262">
        <f>IF(ISBLANK(H262),0,G262*H262)</f>
        <v/>
      </c>
      <c r="S262">
        <f>IF(R262=0,0,(R262-Q262)/R262)</f>
        <v/>
      </c>
    </row>
    <row r="263">
      <c r="A263" t="inlineStr">
        <is>
          <t>E0140</t>
        </is>
      </c>
      <c r="B263" t="inlineStr">
        <is>
          <t>M05</t>
        </is>
      </c>
      <c r="C263" t="inlineStr">
        <is>
          <t>WALKER, WITH TRUNK SUPPORT, ADJUSTABLE OR FIXED HEIGHT, ANY TYPE</t>
        </is>
      </c>
      <c r="D263" t="n">
        <v>2</v>
      </c>
      <c r="E263" s="2" t="n">
        <v>28.36</v>
      </c>
      <c r="F263" t="inlineStr"/>
      <c r="G263" s="2" t="inlineStr"/>
      <c r="H263" t="inlineStr"/>
      <c r="I263" s="2" t="inlineStr"/>
      <c r="J263" t="inlineStr"/>
      <c r="K263" s="2" t="inlineStr"/>
      <c r="L263" t="inlineStr"/>
      <c r="M263" s="2" t="inlineStr"/>
      <c r="N263" s="2" t="inlineStr"/>
      <c r="O263" s="2">
        <f>IF(P263=J263,I263,IF(P263=L263,K263,M263))</f>
        <v/>
      </c>
      <c r="P263" s="3">
        <f>MIN(J263,L263,N263)</f>
        <v/>
      </c>
      <c r="Q263">
        <f>G263*P263</f>
        <v/>
      </c>
      <c r="R263">
        <f>IF(ISBLANK(H263),0,G263*H263)</f>
        <v/>
      </c>
      <c r="S263">
        <f>IF(R263=0,0,(R263-Q263)/R263)</f>
        <v/>
      </c>
    </row>
    <row r="264">
      <c r="A264" t="inlineStr">
        <is>
          <t>E0110</t>
        </is>
      </c>
      <c r="B264" t="inlineStr">
        <is>
          <t>M01</t>
        </is>
      </c>
      <c r="C264" t="inlineStr">
        <is>
          <t>CRUTCHES, FOREARM, INCLUDES CRUTCHES OF VARIOUS MATERIALS, ADJUSTABLE OR FIXED, PAIR, COMPLETE WITH TIPS AND HANDGRIPS</t>
        </is>
      </c>
      <c r="D264" t="n">
        <v>2</v>
      </c>
      <c r="E264" s="2" t="n">
        <v>108.41</v>
      </c>
      <c r="F264" t="inlineStr"/>
      <c r="G264" s="2" t="inlineStr"/>
      <c r="H264" t="inlineStr"/>
      <c r="I264" s="2" t="inlineStr"/>
      <c r="J264" t="inlineStr"/>
      <c r="K264" s="2" t="inlineStr"/>
      <c r="L264" t="inlineStr"/>
      <c r="M264" s="2" t="inlineStr"/>
      <c r="N264" s="2" t="inlineStr"/>
      <c r="O264" s="2">
        <f>IF(P264=J264,I264,IF(P264=L264,K264,M264))</f>
        <v/>
      </c>
      <c r="P264" s="3">
        <f>MIN(J264,L264,N264)</f>
        <v/>
      </c>
      <c r="Q264">
        <f>G264*P264</f>
        <v/>
      </c>
      <c r="R264">
        <f>IF(ISBLANK(H264),0,G264*H264)</f>
        <v/>
      </c>
      <c r="S264">
        <f>IF(R264=0,0,(R264-Q264)/R264)</f>
        <v/>
      </c>
    </row>
    <row r="265">
      <c r="A265" t="inlineStr">
        <is>
          <t>A4233</t>
        </is>
      </c>
      <c r="B265" t="inlineStr">
        <is>
          <t>DM05</t>
        </is>
      </c>
      <c r="C265" t="inlineStr">
        <is>
          <t>REPLACEMENT BATTERY, ALKALINE (OTHER THAN J CELL), FOR USE WITH MEDICALLY NECESSARY HOME BLOOD GLUCOSE MONITOR OWNED BY PATIENT, EACH</t>
        </is>
      </c>
      <c r="D265" t="n">
        <v>2</v>
      </c>
      <c r="E265" s="2" t="n">
        <v>0.51</v>
      </c>
      <c r="F265" t="inlineStr"/>
      <c r="G265" s="2" t="inlineStr"/>
      <c r="H265" t="inlineStr"/>
      <c r="I265" s="2" t="inlineStr"/>
      <c r="J265" t="inlineStr"/>
      <c r="K265" s="2" t="inlineStr"/>
      <c r="L265" t="inlineStr"/>
      <c r="M265" s="2" t="inlineStr"/>
      <c r="N265" s="2" t="inlineStr"/>
      <c r="O265" s="2">
        <f>IF(P265=J265,I265,IF(P265=L265,K265,M265))</f>
        <v/>
      </c>
      <c r="P265" s="3">
        <f>MIN(J265,L265,N265)</f>
        <v/>
      </c>
      <c r="Q265">
        <f>G265*P265</f>
        <v/>
      </c>
      <c r="R265">
        <f>IF(ISBLANK(H265),0,G265*H265)</f>
        <v/>
      </c>
      <c r="S265">
        <f>IF(R265=0,0,(R265-Q265)/R265)</f>
        <v/>
      </c>
    </row>
    <row r="266">
      <c r="A266" t="inlineStr">
        <is>
          <t>E0105</t>
        </is>
      </c>
      <c r="B266" t="inlineStr">
        <is>
          <t>M01</t>
        </is>
      </c>
      <c r="C266" t="inlineStr">
        <is>
          <t>CANE, QUAD OR THREE PRONG, INCLUDES CANES OF ALL MATERIALS, ADJUSTABLE OR FIXED, WITH TIPS</t>
        </is>
      </c>
      <c r="D266" t="n">
        <v>2</v>
      </c>
      <c r="E266" s="2" t="n">
        <v>68.63</v>
      </c>
      <c r="F266" t="inlineStr"/>
      <c r="G266" s="2" t="inlineStr"/>
      <c r="H266" t="inlineStr"/>
      <c r="I266" s="2" t="inlineStr"/>
      <c r="J266" t="inlineStr"/>
      <c r="K266" s="2" t="inlineStr"/>
      <c r="L266" t="inlineStr"/>
      <c r="M266" s="2" t="inlineStr"/>
      <c r="N266" s="2" t="inlineStr"/>
      <c r="O266" s="2">
        <f>IF(P266=J266,I266,IF(P266=L266,K266,M266))</f>
        <v/>
      </c>
      <c r="P266" s="3">
        <f>MIN(J266,L266,N266)</f>
        <v/>
      </c>
      <c r="Q266">
        <f>G266*P266</f>
        <v/>
      </c>
      <c r="R266">
        <f>IF(ISBLANK(H266),0,G266*H266)</f>
        <v/>
      </c>
      <c r="S266">
        <f>IF(R266=0,0,(R266-Q266)/R266)</f>
        <v/>
      </c>
    </row>
    <row r="267">
      <c r="A267" t="inlineStr">
        <is>
          <t>E0100</t>
        </is>
      </c>
      <c r="B267" t="inlineStr">
        <is>
          <t>M01</t>
        </is>
      </c>
      <c r="C267" t="inlineStr">
        <is>
          <t>CANE, INCLUDES CANES OF ALL MATERIALS, ADJUSTABLE OR FIXED, WITH TIP</t>
        </is>
      </c>
      <c r="D267" t="n">
        <v>2</v>
      </c>
      <c r="E267" s="2" t="n">
        <v>29.45</v>
      </c>
      <c r="F267" t="inlineStr"/>
      <c r="G267" s="2" t="inlineStr"/>
      <c r="H267" t="inlineStr"/>
      <c r="I267" s="2" t="inlineStr"/>
      <c r="J267" t="inlineStr"/>
      <c r="K267" s="2" t="inlineStr"/>
      <c r="L267" t="inlineStr"/>
      <c r="M267" s="2" t="inlineStr"/>
      <c r="N267" s="2" t="inlineStr"/>
      <c r="O267" s="2">
        <f>IF(P267=J267,I267,IF(P267=L267,K267,M267))</f>
        <v/>
      </c>
      <c r="P267" s="3">
        <f>MIN(J267,L267,N267)</f>
        <v/>
      </c>
      <c r="Q267">
        <f>G267*P267</f>
        <v/>
      </c>
      <c r="R267">
        <f>IF(ISBLANK(H267),0,G267*H267)</f>
        <v/>
      </c>
      <c r="S267">
        <f>IF(R267=0,0,(R267-Q267)/R267)</f>
        <v/>
      </c>
    </row>
    <row r="268">
      <c r="A268" t="inlineStr">
        <is>
          <t>A4637</t>
        </is>
      </c>
      <c r="B268" t="inlineStr">
        <is>
          <t>M01</t>
        </is>
      </c>
      <c r="C268" t="inlineStr">
        <is>
          <t>REPLACEMENT, TIP, CANE, CRUTCH, WALKER, EACH.</t>
        </is>
      </c>
      <c r="D268" t="n">
        <v>2</v>
      </c>
      <c r="E268" s="2" t="n">
        <v>2.14</v>
      </c>
      <c r="F268" t="inlineStr"/>
      <c r="G268" s="2" t="inlineStr"/>
      <c r="H268" t="inlineStr"/>
      <c r="I268" s="2" t="inlineStr"/>
      <c r="J268" t="inlineStr"/>
      <c r="K268" s="2" t="inlineStr"/>
      <c r="L268" t="inlineStr"/>
      <c r="M268" s="2" t="inlineStr"/>
      <c r="N268" s="2" t="inlineStr"/>
      <c r="O268" s="2">
        <f>IF(P268=J268,I268,IF(P268=L268,K268,M268))</f>
        <v/>
      </c>
      <c r="P268" s="3">
        <f>MIN(J268,L268,N268)</f>
        <v/>
      </c>
      <c r="Q268">
        <f>G268*P268</f>
        <v/>
      </c>
      <c r="R268">
        <f>IF(ISBLANK(H268),0,G268*H268)</f>
        <v/>
      </c>
      <c r="S268">
        <f>IF(R268=0,0,(R268-Q268)/R268)</f>
        <v/>
      </c>
    </row>
    <row r="269">
      <c r="A269" t="inlineStr">
        <is>
          <t>A4635</t>
        </is>
      </c>
      <c r="B269" t="inlineStr">
        <is>
          <t>M01</t>
        </is>
      </c>
      <c r="C269" t="inlineStr">
        <is>
          <t>UNDERARM PAD, CRUTCH, REPLACEMENT, EACH</t>
        </is>
      </c>
      <c r="D269" t="n">
        <v>2</v>
      </c>
      <c r="E269" s="2" t="n">
        <v>7.14</v>
      </c>
      <c r="F269" t="inlineStr"/>
      <c r="G269" s="2" t="inlineStr"/>
      <c r="H269" t="inlineStr"/>
      <c r="I269" s="2" t="inlineStr"/>
      <c r="J269" t="inlineStr"/>
      <c r="K269" s="2" t="inlineStr"/>
      <c r="L269" t="inlineStr"/>
      <c r="M269" s="2" t="inlineStr"/>
      <c r="N269" s="2" t="inlineStr"/>
      <c r="O269" s="2">
        <f>IF(P269=J269,I269,IF(P269=L269,K269,M269))</f>
        <v/>
      </c>
      <c r="P269" s="3">
        <f>MIN(J269,L269,N269)</f>
        <v/>
      </c>
      <c r="Q269">
        <f>G269*P269</f>
        <v/>
      </c>
      <c r="R269">
        <f>IF(ISBLANK(H269),0,G269*H269)</f>
        <v/>
      </c>
      <c r="S269">
        <f>IF(R269=0,0,(R269-Q269)/R269)</f>
        <v/>
      </c>
    </row>
    <row r="270">
      <c r="A270" t="inlineStr">
        <is>
          <t>E0135</t>
        </is>
      </c>
      <c r="B270" t="inlineStr">
        <is>
          <t>M05</t>
        </is>
      </c>
      <c r="C270" t="inlineStr">
        <is>
          <t>WALKER, FOLDING (PICKUP), ADJUSTABLE OR FIXED HEIGHT</t>
        </is>
      </c>
      <c r="D270" t="n">
        <v>2</v>
      </c>
      <c r="E270" s="2" t="n">
        <v>51.36</v>
      </c>
      <c r="F270" t="inlineStr"/>
      <c r="G270" s="2" t="inlineStr"/>
      <c r="H270" t="inlineStr"/>
      <c r="I270" s="2" t="inlineStr"/>
      <c r="J270" t="inlineStr"/>
      <c r="K270" s="2" t="inlineStr"/>
      <c r="L270" t="inlineStr"/>
      <c r="M270" s="2" t="inlineStr"/>
      <c r="N270" s="2" t="inlineStr"/>
      <c r="O270" s="2">
        <f>IF(P270=J270,I270,IF(P270=L270,K270,M270))</f>
        <v/>
      </c>
      <c r="P270" s="3">
        <f>MIN(J270,L270,N270)</f>
        <v/>
      </c>
      <c r="Q270">
        <f>G270*P270</f>
        <v/>
      </c>
      <c r="R270">
        <f>IF(ISBLANK(H270),0,G270*H270)</f>
        <v/>
      </c>
      <c r="S270">
        <f>IF(R270=0,0,(R270-Q270)/R270)</f>
        <v/>
      </c>
    </row>
    <row r="271">
      <c r="A271" t="inlineStr">
        <is>
          <t>K0009</t>
        </is>
      </c>
      <c r="B271" t="inlineStr">
        <is>
          <t>M06</t>
        </is>
      </c>
      <c r="C271" t="inlineStr">
        <is>
          <t>OTHER MANUAL WHEELCHAIR/BASE</t>
        </is>
      </c>
      <c r="D271" t="n">
        <v>2</v>
      </c>
      <c r="E271" s="2" t="n">
        <v>99.86</v>
      </c>
      <c r="F271" t="inlineStr"/>
      <c r="G271" s="2" t="inlineStr"/>
      <c r="H271" t="inlineStr"/>
      <c r="I271" s="2" t="inlineStr"/>
      <c r="J271" t="inlineStr"/>
      <c r="K271" s="2" t="inlineStr"/>
      <c r="L271" t="inlineStr"/>
      <c r="M271" s="2" t="inlineStr"/>
      <c r="N271" s="2" t="inlineStr"/>
      <c r="O271" s="2">
        <f>IF(P271=J271,I271,IF(P271=L271,K271,M271))</f>
        <v/>
      </c>
      <c r="P271" s="3">
        <f>MIN(J271,L271,N271)</f>
        <v/>
      </c>
      <c r="Q271">
        <f>G271*P271</f>
        <v/>
      </c>
      <c r="R271">
        <f>IF(ISBLANK(H271),0,G271*H271)</f>
        <v/>
      </c>
      <c r="S271">
        <f>IF(R271=0,0,(R271-Q271)/R271)</f>
        <v/>
      </c>
    </row>
    <row r="272">
      <c r="A272" t="inlineStr">
        <is>
          <t>K0007</t>
        </is>
      </c>
      <c r="B272" t="inlineStr">
        <is>
          <t>M06</t>
        </is>
      </c>
      <c r="C272" t="inlineStr">
        <is>
          <t>EXTRA HEAVY DUTY WHEELCHAIR</t>
        </is>
      </c>
      <c r="D272" t="n">
        <v>2</v>
      </c>
      <c r="E272" s="2" t="n">
        <v>88.59</v>
      </c>
      <c r="F272" t="inlineStr"/>
      <c r="G272" s="2" t="inlineStr"/>
      <c r="H272" t="inlineStr"/>
      <c r="I272" s="2" t="inlineStr"/>
      <c r="J272" t="inlineStr"/>
      <c r="K272" s="2" t="inlineStr"/>
      <c r="L272" t="inlineStr"/>
      <c r="M272" s="2" t="inlineStr"/>
      <c r="N272" s="2" t="inlineStr"/>
      <c r="O272" s="2">
        <f>IF(P272=J272,I272,IF(P272=L272,K272,M272))</f>
        <v/>
      </c>
      <c r="P272" s="3">
        <f>MIN(J272,L272,N272)</f>
        <v/>
      </c>
      <c r="Q272">
        <f>G272*P272</f>
        <v/>
      </c>
      <c r="R272">
        <f>IF(ISBLANK(H272),0,G272*H272)</f>
        <v/>
      </c>
      <c r="S272">
        <f>IF(R272=0,0,(R272-Q272)/R272)</f>
        <v/>
      </c>
    </row>
    <row r="273">
      <c r="A273" t="inlineStr">
        <is>
          <t>E0148</t>
        </is>
      </c>
      <c r="B273" t="inlineStr">
        <is>
          <t>M05</t>
        </is>
      </c>
      <c r="C273" t="inlineStr">
        <is>
          <t>WALKER, HEAVY DUTY, WITHOUT WHEELS, RIGID OR FOLDING, ANY TYPE, EACH</t>
        </is>
      </c>
      <c r="D273" t="n">
        <v>2</v>
      </c>
      <c r="E273" s="2" t="n">
        <v>87.43000000000001</v>
      </c>
      <c r="F273" t="inlineStr"/>
      <c r="G273" s="2" t="inlineStr"/>
      <c r="H273" t="inlineStr"/>
      <c r="I273" s="2" t="inlineStr"/>
      <c r="J273" t="inlineStr"/>
      <c r="K273" s="2" t="inlineStr"/>
      <c r="L273" t="inlineStr"/>
      <c r="M273" s="2" t="inlineStr"/>
      <c r="N273" s="2" t="inlineStr"/>
      <c r="O273" s="2">
        <f>IF(P273=J273,I273,IF(P273=L273,K273,M273))</f>
        <v/>
      </c>
      <c r="P273" s="3">
        <f>MIN(J273,L273,N273)</f>
        <v/>
      </c>
      <c r="Q273">
        <f>G273*P273</f>
        <v/>
      </c>
      <c r="R273">
        <f>IF(ISBLANK(H273),0,G273*H273)</f>
        <v/>
      </c>
      <c r="S273">
        <f>IF(R273=0,0,(R273-Q273)/R273)</f>
        <v/>
      </c>
    </row>
    <row r="274">
      <c r="A274" t="inlineStr">
        <is>
          <t>E0149</t>
        </is>
      </c>
      <c r="B274" t="inlineStr">
        <is>
          <t>M05</t>
        </is>
      </c>
      <c r="C274" t="inlineStr">
        <is>
          <t>WALKER, HEAVY DUTY, WHEELED, RIGID OR FOLDING, ANY TYPE</t>
        </is>
      </c>
      <c r="D274" t="n">
        <v>2</v>
      </c>
      <c r="E274" s="2" t="n">
        <v>12</v>
      </c>
      <c r="F274" t="inlineStr"/>
      <c r="G274" s="2" t="inlineStr"/>
      <c r="H274" t="inlineStr"/>
      <c r="I274" s="2" t="inlineStr"/>
      <c r="J274" t="inlineStr"/>
      <c r="K274" s="2" t="inlineStr"/>
      <c r="L274" t="inlineStr"/>
      <c r="M274" s="2" t="inlineStr"/>
      <c r="N274" s="2" t="inlineStr"/>
      <c r="O274" s="2">
        <f>IF(P274=J274,I274,IF(P274=L274,K274,M274))</f>
        <v/>
      </c>
      <c r="P274" s="3">
        <f>MIN(J274,L274,N274)</f>
        <v/>
      </c>
      <c r="Q274">
        <f>G274*P274</f>
        <v/>
      </c>
      <c r="R274">
        <f>IF(ISBLANK(H274),0,G274*H274)</f>
        <v/>
      </c>
      <c r="S274">
        <f>IF(R274=0,0,(R274-Q274)/R274)</f>
        <v/>
      </c>
    </row>
    <row r="275">
      <c r="A275" t="inlineStr">
        <is>
          <t>E0153</t>
        </is>
      </c>
      <c r="B275" t="inlineStr">
        <is>
          <t>M01</t>
        </is>
      </c>
      <c r="C275" t="inlineStr">
        <is>
          <t>PLATFORM ATTACHMENT, FOREARM CRUTCH, EACH</t>
        </is>
      </c>
      <c r="D275" t="n">
        <v>2</v>
      </c>
      <c r="E275" s="2" t="n">
        <v>96.95999999999999</v>
      </c>
      <c r="F275" t="inlineStr"/>
      <c r="G275" s="2" t="inlineStr"/>
      <c r="H275" t="inlineStr"/>
      <c r="I275" s="2" t="inlineStr"/>
      <c r="J275" t="inlineStr"/>
      <c r="K275" s="2" t="inlineStr"/>
      <c r="L275" t="inlineStr"/>
      <c r="M275" s="2" t="inlineStr"/>
      <c r="N275" s="2" t="inlineStr"/>
      <c r="O275" s="2">
        <f>IF(P275=J275,I275,IF(P275=L275,K275,M275))</f>
        <v/>
      </c>
      <c r="P275" s="3">
        <f>MIN(J275,L275,N275)</f>
        <v/>
      </c>
      <c r="Q275">
        <f>G275*P275</f>
        <v/>
      </c>
      <c r="R275">
        <f>IF(ISBLANK(H275),0,G275*H275)</f>
        <v/>
      </c>
      <c r="S275">
        <f>IF(R275=0,0,(R275-Q275)/R275)</f>
        <v/>
      </c>
    </row>
    <row r="276">
      <c r="A276" t="inlineStr">
        <is>
          <t>E0117</t>
        </is>
      </c>
      <c r="B276" t="inlineStr">
        <is>
          <t>M01</t>
        </is>
      </c>
      <c r="C276" t="inlineStr">
        <is>
          <t>CRUTCH, UNDERARM, ARTICULATING, SPRING ASSISTED, EACH</t>
        </is>
      </c>
      <c r="D276" t="n">
        <v>2</v>
      </c>
      <c r="E276" s="2" t="n">
        <v>26.91</v>
      </c>
      <c r="F276" t="inlineStr"/>
      <c r="G276" s="2" t="inlineStr"/>
      <c r="H276" t="inlineStr"/>
      <c r="I276" s="2" t="inlineStr"/>
      <c r="J276" t="inlineStr"/>
      <c r="K276" s="2" t="inlineStr"/>
      <c r="L276" t="inlineStr"/>
      <c r="M276" s="2" t="inlineStr"/>
      <c r="N276" s="2" t="inlineStr"/>
      <c r="O276" s="2">
        <f>IF(P276=J276,I276,IF(P276=L276,K276,M276))</f>
        <v/>
      </c>
      <c r="P276" s="3">
        <f>MIN(J276,L276,N276)</f>
        <v/>
      </c>
      <c r="Q276">
        <f>G276*P276</f>
        <v/>
      </c>
      <c r="R276">
        <f>IF(ISBLANK(H276),0,G276*H276)</f>
        <v/>
      </c>
      <c r="S276">
        <f>IF(R276=0,0,(R276-Q276)/R276)</f>
        <v/>
      </c>
    </row>
    <row r="277">
      <c r="A277" t="inlineStr">
        <is>
          <t>E0159</t>
        </is>
      </c>
      <c r="B277" t="inlineStr">
        <is>
          <t>M05</t>
        </is>
      </c>
      <c r="C277" t="inlineStr">
        <is>
          <t>BRAKE ATTACHMENT FOR WHEELED WALKER, REPLACEMENT, EACH</t>
        </is>
      </c>
      <c r="D277" t="n">
        <v>2</v>
      </c>
      <c r="E277" s="2" t="n">
        <v>14.98</v>
      </c>
      <c r="F277" t="inlineStr"/>
      <c r="G277" s="2" t="inlineStr"/>
      <c r="H277" t="inlineStr"/>
      <c r="I277" s="2" t="inlineStr"/>
      <c r="J277" t="inlineStr"/>
      <c r="K277" s="2" t="inlineStr"/>
      <c r="L277" t="inlineStr"/>
      <c r="M277" s="2" t="inlineStr"/>
      <c r="N277" s="2" t="inlineStr"/>
      <c r="O277" s="2">
        <f>IF(P277=J277,I277,IF(P277=L277,K277,M277))</f>
        <v/>
      </c>
      <c r="P277" s="3">
        <f>MIN(J277,L277,N277)</f>
        <v/>
      </c>
      <c r="Q277">
        <f>G277*P277</f>
        <v/>
      </c>
      <c r="R277">
        <f>IF(ISBLANK(H277),0,G277*H277)</f>
        <v/>
      </c>
      <c r="S277">
        <f>IF(R277=0,0,(R277-Q277)/R277)</f>
        <v/>
      </c>
    </row>
    <row r="278">
      <c r="A278" t="inlineStr">
        <is>
          <t>E1031</t>
        </is>
      </c>
      <c r="B278" t="inlineStr">
        <is>
          <t>M06</t>
        </is>
      </c>
      <c r="C278" t="inlineStr">
        <is>
          <t>ROLLABOUT CHAIR, ANY AND ALL TYPES WITH CASTERS 5" OR GREATER</t>
        </is>
      </c>
      <c r="D278" t="n">
        <v>2</v>
      </c>
      <c r="E278" s="2" t="n">
        <v>43.29</v>
      </c>
      <c r="F278" t="inlineStr"/>
      <c r="G278" s="2" t="inlineStr"/>
      <c r="H278" t="inlineStr"/>
      <c r="I278" s="2" t="inlineStr"/>
      <c r="J278" t="inlineStr"/>
      <c r="K278" s="2" t="inlineStr"/>
      <c r="L278" t="inlineStr"/>
      <c r="M278" s="2" t="inlineStr"/>
      <c r="N278" s="2" t="inlineStr"/>
      <c r="O278" s="2">
        <f>IF(P278=J278,I278,IF(P278=L278,K278,M278))</f>
        <v/>
      </c>
      <c r="P278" s="3">
        <f>MIN(J278,L278,N278)</f>
        <v/>
      </c>
      <c r="Q278">
        <f>G278*P278</f>
        <v/>
      </c>
      <c r="R278">
        <f>IF(ISBLANK(H278),0,G278*H278)</f>
        <v/>
      </c>
      <c r="S278">
        <f>IF(R278=0,0,(R278-Q278)/R278)</f>
        <v/>
      </c>
    </row>
    <row r="279">
      <c r="A279" t="inlineStr">
        <is>
          <t>E0147</t>
        </is>
      </c>
      <c r="B279" t="inlineStr">
        <is>
          <t>M05</t>
        </is>
      </c>
      <c r="C279" t="inlineStr">
        <is>
          <t>WALKER, HEAVY DUTY, MULTIPLE BRAKING SYSTEM, VARIABLE WHEEL RESISTANCE</t>
        </is>
      </c>
      <c r="D279" t="n">
        <v>2</v>
      </c>
      <c r="E279" s="2" t="n">
        <v>479.72</v>
      </c>
      <c r="F279" t="inlineStr"/>
      <c r="G279" s="2" t="inlineStr"/>
      <c r="H279" t="inlineStr"/>
      <c r="I279" s="2" t="inlineStr"/>
      <c r="J279" t="inlineStr"/>
      <c r="K279" s="2" t="inlineStr"/>
      <c r="L279" t="inlineStr"/>
      <c r="M279" s="2" t="inlineStr"/>
      <c r="N279" s="2" t="inlineStr"/>
      <c r="O279" s="2">
        <f>IF(P279=J279,I279,IF(P279=L279,K279,M279))</f>
        <v/>
      </c>
      <c r="P279" s="3">
        <f>MIN(J279,L279,N279)</f>
        <v/>
      </c>
      <c r="Q279">
        <f>G279*P279</f>
        <v/>
      </c>
      <c r="R279">
        <f>IF(ISBLANK(H279),0,G279*H279)</f>
        <v/>
      </c>
      <c r="S279">
        <f>IF(R279=0,0,(R279-Q279)/R279)</f>
        <v/>
      </c>
    </row>
    <row r="280">
      <c r="A280" t="inlineStr">
        <is>
          <t>E0112</t>
        </is>
      </c>
      <c r="B280" t="inlineStr">
        <is>
          <t>M01</t>
        </is>
      </c>
      <c r="C280" t="inlineStr">
        <is>
          <t>CRUTCHES UNDERARM, WOOD, ADJUSTABLE OR FIXED, PAIR, WITH PADS, TIPS AND HANDGRIPS</t>
        </is>
      </c>
      <c r="D280" t="n">
        <v>2</v>
      </c>
      <c r="E280" s="2" t="n">
        <v>51.71</v>
      </c>
      <c r="F280" t="inlineStr"/>
      <c r="G280" s="2" t="inlineStr"/>
      <c r="H280" t="inlineStr"/>
      <c r="I280" s="2" t="inlineStr"/>
      <c r="J280" t="inlineStr"/>
      <c r="K280" s="2" t="inlineStr"/>
      <c r="L280" t="inlineStr"/>
      <c r="M280" s="2" t="inlineStr"/>
      <c r="N280" s="2" t="inlineStr"/>
      <c r="O280" s="2">
        <f>IF(P280=J280,I280,IF(P280=L280,K280,M280))</f>
        <v/>
      </c>
      <c r="P280" s="3">
        <f>MIN(J280,L280,N280)</f>
        <v/>
      </c>
      <c r="Q280">
        <f>G280*P280</f>
        <v/>
      </c>
      <c r="R280">
        <f>IF(ISBLANK(H280),0,G280*H280)</f>
        <v/>
      </c>
      <c r="S280">
        <f>IF(R280=0,0,(R280-Q280)/R280)</f>
        <v/>
      </c>
    </row>
    <row r="281">
      <c r="A281" t="inlineStr">
        <is>
          <t>A4636</t>
        </is>
      </c>
      <c r="B281" t="inlineStr">
        <is>
          <t>M01</t>
        </is>
      </c>
      <c r="C281" t="inlineStr">
        <is>
          <t>REPLACEMENT, HANDGRIP, CANE, CRUTCH, OR WALKER, EACH</t>
        </is>
      </c>
      <c r="D281" t="n">
        <v>2</v>
      </c>
      <c r="E281" s="2" t="n">
        <v>3.86</v>
      </c>
      <c r="F281" t="inlineStr"/>
      <c r="G281" s="2" t="inlineStr"/>
      <c r="H281" t="inlineStr"/>
      <c r="I281" s="2" t="inlineStr"/>
      <c r="J281" t="inlineStr"/>
      <c r="K281" s="2" t="inlineStr"/>
      <c r="L281" t="inlineStr"/>
      <c r="M281" s="2" t="inlineStr"/>
      <c r="N281" s="2" t="inlineStr"/>
      <c r="O281" s="2">
        <f>IF(P281=J281,I281,IF(P281=L281,K281,M281))</f>
        <v/>
      </c>
      <c r="P281" s="3">
        <f>MIN(J281,L281,N281)</f>
        <v/>
      </c>
      <c r="Q281">
        <f>G281*P281</f>
        <v/>
      </c>
      <c r="R281">
        <f>IF(ISBLANK(H281),0,G281*H281)</f>
        <v/>
      </c>
      <c r="S281">
        <f>IF(R281=0,0,(R281-Q281)/R281)</f>
        <v/>
      </c>
    </row>
    <row r="282">
      <c r="A282" t="inlineStr">
        <is>
          <t>A4637</t>
        </is>
      </c>
      <c r="B282" t="inlineStr">
        <is>
          <t>M05</t>
        </is>
      </c>
      <c r="C282" t="inlineStr">
        <is>
          <t>REPLACEMENT, TIP, CANE, CRUTCH, WALKER, EACH.</t>
        </is>
      </c>
      <c r="D282" t="n">
        <v>2</v>
      </c>
      <c r="E282" s="2" t="n">
        <v>2.14</v>
      </c>
      <c r="F282" t="inlineStr"/>
      <c r="G282" s="2" t="inlineStr"/>
      <c r="H282" t="inlineStr"/>
      <c r="I282" s="2" t="inlineStr"/>
      <c r="J282" t="inlineStr"/>
      <c r="K282" s="2" t="inlineStr"/>
      <c r="L282" t="inlineStr"/>
      <c r="M282" s="2" t="inlineStr"/>
      <c r="N282" s="2" t="inlineStr"/>
      <c r="O282" s="2">
        <f>IF(P282=J282,I282,IF(P282=L282,K282,M282))</f>
        <v/>
      </c>
      <c r="P282" s="3">
        <f>MIN(J282,L282,N282)</f>
        <v/>
      </c>
      <c r="Q282">
        <f>G282*P282</f>
        <v/>
      </c>
      <c r="R282">
        <f>IF(ISBLANK(H282),0,G282*H282)</f>
        <v/>
      </c>
      <c r="S282">
        <f>IF(R282=0,0,(R282-Q282)/R282)</f>
        <v/>
      </c>
    </row>
    <row r="283">
      <c r="A283" t="inlineStr">
        <is>
          <t>E1037</t>
        </is>
      </c>
      <c r="B283" t="inlineStr">
        <is>
          <t>M06</t>
        </is>
      </c>
      <c r="C283" t="inlineStr">
        <is>
          <t>TRANSPORT CHAIR, PEDIATRIC SIZE</t>
        </is>
      </c>
      <c r="D283" t="n">
        <v>2</v>
      </c>
      <c r="E283" s="2" t="n">
        <v>112.93</v>
      </c>
      <c r="F283" t="inlineStr"/>
      <c r="G283" s="2" t="inlineStr"/>
      <c r="H283" t="inlineStr"/>
      <c r="I283" s="2" t="inlineStr"/>
      <c r="J283" t="inlineStr"/>
      <c r="K283" s="2" t="inlineStr"/>
      <c r="L283" t="inlineStr"/>
      <c r="M283" s="2" t="inlineStr"/>
      <c r="N283" s="2" t="inlineStr"/>
      <c r="O283" s="2">
        <f>IF(P283=J283,I283,IF(P283=L283,K283,M283))</f>
        <v/>
      </c>
      <c r="P283" s="3">
        <f>MIN(J283,L283,N283)</f>
        <v/>
      </c>
      <c r="Q283">
        <f>G283*P283</f>
        <v/>
      </c>
      <c r="R283">
        <f>IF(ISBLANK(H283),0,G283*H283)</f>
        <v/>
      </c>
      <c r="S283">
        <f>IF(R283=0,0,(R283-Q283)/R283)</f>
        <v/>
      </c>
    </row>
    <row r="284">
      <c r="A284" t="inlineStr">
        <is>
          <t>E0113</t>
        </is>
      </c>
      <c r="B284" t="inlineStr">
        <is>
          <t>M01</t>
        </is>
      </c>
      <c r="C284" t="inlineStr">
        <is>
          <t>CRUTCH UNDERARM, WOOD, ADJUSTABLE OR FIXED, EACH, WITH PAD, TIP AND HANDGRIP</t>
        </is>
      </c>
      <c r="D284" t="n">
        <v>2</v>
      </c>
      <c r="E284" s="2" t="n">
        <v>29.54</v>
      </c>
      <c r="F284" t="inlineStr"/>
      <c r="G284" s="2" t="inlineStr"/>
      <c r="H284" t="inlineStr"/>
      <c r="I284" s="2" t="inlineStr"/>
      <c r="J284" t="inlineStr"/>
      <c r="K284" s="2" t="inlineStr"/>
      <c r="L284" t="inlineStr"/>
      <c r="M284" s="2" t="inlineStr"/>
      <c r="N284" s="2" t="inlineStr"/>
      <c r="O284" s="2">
        <f>IF(P284=J284,I284,IF(P284=L284,K284,M284))</f>
        <v/>
      </c>
      <c r="P284" s="3">
        <f>MIN(J284,L284,N284)</f>
        <v/>
      </c>
      <c r="Q284">
        <f>G284*P284</f>
        <v/>
      </c>
      <c r="R284">
        <f>IF(ISBLANK(H284),0,G284*H284)</f>
        <v/>
      </c>
      <c r="S284">
        <f>IF(R284=0,0,(R284-Q284)/R284)</f>
        <v/>
      </c>
    </row>
    <row r="285">
      <c r="A285" t="inlineStr">
        <is>
          <t>E0141</t>
        </is>
      </c>
      <c r="B285" t="inlineStr">
        <is>
          <t>M05</t>
        </is>
      </c>
      <c r="C285" t="inlineStr">
        <is>
          <t>WALKER, RIGID, WHEELED, ADJUSTABLE OR FIXED HEIGHT</t>
        </is>
      </c>
      <c r="D285" t="n">
        <v>2</v>
      </c>
      <c r="E285" s="2" t="n">
        <v>76.64</v>
      </c>
      <c r="F285" t="inlineStr"/>
      <c r="G285" s="2" t="inlineStr"/>
      <c r="H285" t="inlineStr"/>
      <c r="I285" s="2" t="inlineStr"/>
      <c r="J285" t="inlineStr"/>
      <c r="K285" s="2" t="inlineStr"/>
      <c r="L285" t="inlineStr"/>
      <c r="M285" s="2" t="inlineStr"/>
      <c r="N285" s="2" t="inlineStr"/>
      <c r="O285" s="2">
        <f>IF(P285=J285,I285,IF(P285=L285,K285,M285))</f>
        <v/>
      </c>
      <c r="P285" s="3">
        <f>MIN(J285,L285,N285)</f>
        <v/>
      </c>
      <c r="Q285">
        <f>G285*P285</f>
        <v/>
      </c>
      <c r="R285">
        <f>IF(ISBLANK(H285),0,G285*H285)</f>
        <v/>
      </c>
      <c r="S285">
        <f>IF(R285=0,0,(R285-Q285)/R285)</f>
        <v/>
      </c>
    </row>
    <row r="286">
      <c r="A286" t="inlineStr">
        <is>
          <t>E1038</t>
        </is>
      </c>
      <c r="B286" t="inlineStr">
        <is>
          <t>M06</t>
        </is>
      </c>
      <c r="C286" t="inlineStr">
        <is>
          <t>TRANSPORT CHAIR, ADULT SIZE, PATIENT WEIGHT CAPACITY UP TO AND INCLUDING 300 POUNDS</t>
        </is>
      </c>
      <c r="D286" t="n">
        <v>2</v>
      </c>
      <c r="E286" s="2" t="n">
        <v>14.18</v>
      </c>
      <c r="F286" t="inlineStr"/>
      <c r="G286" s="2" t="inlineStr"/>
      <c r="H286" t="inlineStr"/>
      <c r="I286" s="2" t="inlineStr"/>
      <c r="J286" t="inlineStr"/>
      <c r="K286" s="2" t="inlineStr"/>
      <c r="L286" t="inlineStr"/>
      <c r="M286" s="2" t="inlineStr"/>
      <c r="N286" s="2" t="inlineStr"/>
      <c r="O286" s="2">
        <f>IF(P286=J286,I286,IF(P286=L286,K286,M286))</f>
        <v/>
      </c>
      <c r="P286" s="3">
        <f>MIN(J286,L286,N286)</f>
        <v/>
      </c>
      <c r="Q286">
        <f>G286*P286</f>
        <v/>
      </c>
      <c r="R286">
        <f>IF(ISBLANK(H286),0,G286*H286)</f>
        <v/>
      </c>
      <c r="S286">
        <f>IF(R286=0,0,(R286-Q286)/R286)</f>
        <v/>
      </c>
    </row>
    <row r="287">
      <c r="A287" t="inlineStr">
        <is>
          <t>E0156</t>
        </is>
      </c>
      <c r="B287" t="inlineStr">
        <is>
          <t>M05</t>
        </is>
      </c>
      <c r="C287" t="inlineStr">
        <is>
          <t>SEAT ATTACHMENT, WALKER</t>
        </is>
      </c>
      <c r="D287" t="n">
        <v>2</v>
      </c>
      <c r="E287" s="2" t="n">
        <v>16.11</v>
      </c>
      <c r="F287" t="inlineStr"/>
      <c r="G287" s="2" t="inlineStr"/>
      <c r="H287" t="inlineStr"/>
      <c r="I287" s="2" t="inlineStr"/>
      <c r="J287" t="inlineStr"/>
      <c r="K287" s="2" t="inlineStr"/>
      <c r="L287" t="inlineStr"/>
      <c r="M287" s="2" t="inlineStr"/>
      <c r="N287" s="2" t="inlineStr"/>
      <c r="O287" s="2">
        <f>IF(P287=J287,I287,IF(P287=L287,K287,M287))</f>
        <v/>
      </c>
      <c r="P287" s="3">
        <f>MIN(J287,L287,N287)</f>
        <v/>
      </c>
      <c r="Q287">
        <f>G287*P287</f>
        <v/>
      </c>
      <c r="R287">
        <f>IF(ISBLANK(H287),0,G287*H287)</f>
        <v/>
      </c>
      <c r="S287">
        <f>IF(R287=0,0,(R287-Q287)/R287)</f>
        <v/>
      </c>
    </row>
    <row r="288">
      <c r="A288" t="inlineStr">
        <is>
          <t>E0155</t>
        </is>
      </c>
      <c r="B288" t="inlineStr">
        <is>
          <t>M05</t>
        </is>
      </c>
      <c r="C288" t="inlineStr">
        <is>
          <t>WHEEL ATTACHMENT, RIGID PICK-UP WALKER, PER PAIR</t>
        </is>
      </c>
      <c r="D288" t="n">
        <v>2</v>
      </c>
      <c r="E288" s="2" t="n">
        <v>23.73</v>
      </c>
      <c r="F288" t="inlineStr"/>
      <c r="G288" s="2" t="inlineStr"/>
      <c r="H288" t="inlineStr"/>
      <c r="I288" s="2" t="inlineStr"/>
      <c r="J288" t="inlineStr"/>
      <c r="K288" s="2" t="inlineStr"/>
      <c r="L288" t="inlineStr"/>
      <c r="M288" s="2" t="inlineStr"/>
      <c r="N288" s="2" t="inlineStr"/>
      <c r="O288" s="2">
        <f>IF(P288=J288,I288,IF(P288=L288,K288,M288))</f>
        <v/>
      </c>
      <c r="P288" s="3">
        <f>MIN(J288,L288,N288)</f>
        <v/>
      </c>
      <c r="Q288">
        <f>G288*P288</f>
        <v/>
      </c>
      <c r="R288">
        <f>IF(ISBLANK(H288),0,G288*H288)</f>
        <v/>
      </c>
      <c r="S288">
        <f>IF(R288=0,0,(R288-Q288)/R288)</f>
        <v/>
      </c>
    </row>
    <row r="289">
      <c r="A289" t="inlineStr">
        <is>
          <t>E0158</t>
        </is>
      </c>
      <c r="B289" t="inlineStr">
        <is>
          <t>M05</t>
        </is>
      </c>
      <c r="C289" t="inlineStr">
        <is>
          <t>LEG EXTENSIONS FOR WALKER, PER SET OF FOUR (4)</t>
        </is>
      </c>
      <c r="D289" t="n">
        <v>2</v>
      </c>
      <c r="E289" s="2" t="n">
        <v>22.49</v>
      </c>
      <c r="F289" t="inlineStr"/>
      <c r="G289" s="2" t="inlineStr"/>
      <c r="H289" t="inlineStr"/>
      <c r="I289" s="2" t="inlineStr"/>
      <c r="J289" t="inlineStr"/>
      <c r="K289" s="2" t="inlineStr"/>
      <c r="L289" t="inlineStr"/>
      <c r="M289" s="2" t="inlineStr"/>
      <c r="N289" s="2" t="inlineStr"/>
      <c r="O289" s="2">
        <f>IF(P289=J289,I289,IF(P289=L289,K289,M289))</f>
        <v/>
      </c>
      <c r="P289" s="3">
        <f>MIN(J289,L289,N289)</f>
        <v/>
      </c>
      <c r="Q289">
        <f>G289*P289</f>
        <v/>
      </c>
      <c r="R289">
        <f>IF(ISBLANK(H289),0,G289*H289)</f>
        <v/>
      </c>
      <c r="S289">
        <f>IF(R289=0,0,(R289-Q289)/R289)</f>
        <v/>
      </c>
    </row>
    <row r="290">
      <c r="A290" t="inlineStr">
        <is>
          <t>E0157</t>
        </is>
      </c>
      <c r="B290" t="inlineStr">
        <is>
          <t>M05</t>
        </is>
      </c>
      <c r="C290" t="inlineStr">
        <is>
          <t>CRUTCH ATTACHMENT, WALKER, EACH</t>
        </is>
      </c>
      <c r="D290" t="n">
        <v>2</v>
      </c>
      <c r="E290" s="2" t="n">
        <v>56.73</v>
      </c>
      <c r="F290" t="inlineStr"/>
      <c r="G290" s="2" t="inlineStr"/>
      <c r="H290" t="inlineStr"/>
      <c r="I290" s="2" t="inlineStr"/>
      <c r="J290" t="inlineStr"/>
      <c r="K290" s="2" t="inlineStr"/>
      <c r="L290" t="inlineStr"/>
      <c r="M290" s="2" t="inlineStr"/>
      <c r="N290" s="2" t="inlineStr"/>
      <c r="O290" s="2">
        <f>IF(P290=J290,I290,IF(P290=L290,K290,M290))</f>
        <v/>
      </c>
      <c r="P290" s="3">
        <f>MIN(J290,L290,N290)</f>
        <v/>
      </c>
      <c r="Q290">
        <f>G290*P290</f>
        <v/>
      </c>
      <c r="R290">
        <f>IF(ISBLANK(H290),0,G290*H290)</f>
        <v/>
      </c>
      <c r="S290">
        <f>IF(R290=0,0,(R290-Q290)/R290)</f>
        <v/>
      </c>
    </row>
    <row r="291">
      <c r="A291" t="inlineStr">
        <is>
          <t>K0002</t>
        </is>
      </c>
      <c r="B291" t="inlineStr">
        <is>
          <t>M06</t>
        </is>
      </c>
      <c r="C291" t="inlineStr">
        <is>
          <t>STANDARD HEMI (LOW SEAT) WHEELCHAIR</t>
        </is>
      </c>
      <c r="D291" t="n">
        <v>2</v>
      </c>
      <c r="E291" s="2" t="n">
        <v>38.72</v>
      </c>
      <c r="F291" t="inlineStr"/>
      <c r="G291" s="2" t="inlineStr"/>
      <c r="H291" t="inlineStr"/>
      <c r="I291" s="2" t="inlineStr"/>
      <c r="J291" t="inlineStr"/>
      <c r="K291" s="2" t="inlineStr"/>
      <c r="L291" t="inlineStr"/>
      <c r="M291" s="2" t="inlineStr"/>
      <c r="N291" s="2" t="inlineStr"/>
      <c r="O291" s="2">
        <f>IF(P291=J291,I291,IF(P291=L291,K291,M291))</f>
        <v/>
      </c>
      <c r="P291" s="3">
        <f>MIN(J291,L291,N291)</f>
        <v/>
      </c>
      <c r="Q291">
        <f>G291*P291</f>
        <v/>
      </c>
      <c r="R291">
        <f>IF(ISBLANK(H291),0,G291*H291)</f>
        <v/>
      </c>
      <c r="S291">
        <f>IF(R291=0,0,(R291-Q291)/R291)</f>
        <v/>
      </c>
    </row>
    <row r="292">
      <c r="A292" t="inlineStr">
        <is>
          <t>E1039</t>
        </is>
      </c>
      <c r="B292" t="inlineStr">
        <is>
          <t>M06</t>
        </is>
      </c>
      <c r="C292" t="inlineStr">
        <is>
          <t>TRANSPORT CHAIR, ADULT SIZE, HEAVY DUTY, PATIENT WEIGHT CAPACITY GREATER THAN 300 POUNDS</t>
        </is>
      </c>
      <c r="D292" t="n">
        <v>2</v>
      </c>
      <c r="E292" s="2" t="n">
        <v>37.48</v>
      </c>
      <c r="F292" t="inlineStr"/>
      <c r="G292" s="2" t="inlineStr"/>
      <c r="H292" t="inlineStr"/>
      <c r="I292" s="2" t="inlineStr"/>
      <c r="J292" t="inlineStr"/>
      <c r="K292" s="2" t="inlineStr"/>
      <c r="L292" t="inlineStr"/>
      <c r="M292" s="2" t="inlineStr"/>
      <c r="N292" s="2" t="inlineStr"/>
      <c r="O292" s="2">
        <f>IF(P292=J292,I292,IF(P292=L292,K292,M292))</f>
        <v/>
      </c>
      <c r="P292" s="3">
        <f>MIN(J292,L292,N292)</f>
        <v/>
      </c>
      <c r="Q292">
        <f>G292*P292</f>
        <v/>
      </c>
      <c r="R292">
        <f>IF(ISBLANK(H292),0,G292*H292)</f>
        <v/>
      </c>
      <c r="S292">
        <f>IF(R292=0,0,(R292-Q292)/R292)</f>
        <v/>
      </c>
    </row>
    <row r="293">
      <c r="A293" t="inlineStr">
        <is>
          <t>E0720</t>
        </is>
      </c>
      <c r="B293" t="inlineStr">
        <is>
          <t>DM22</t>
        </is>
      </c>
      <c r="C293" t="inlineStr">
        <is>
          <t>TENS device - 2 lead</t>
        </is>
      </c>
      <c r="D293" t="n">
        <v>6</v>
      </c>
      <c r="E293" s="2" t="n">
        <v>69.05</v>
      </c>
      <c r="F293" t="inlineStr"/>
      <c r="G293" s="2" t="inlineStr"/>
      <c r="H293" t="inlineStr"/>
      <c r="I293" s="2" t="inlineStr"/>
      <c r="J293" t="inlineStr"/>
      <c r="K293" s="2" t="inlineStr"/>
      <c r="L293" t="inlineStr"/>
      <c r="M293" s="2" t="inlineStr"/>
      <c r="N293" s="2" t="inlineStr"/>
      <c r="O293" s="2">
        <f>IF(P293=J293,I293,IF(P293=L293,K293,M293))</f>
        <v/>
      </c>
      <c r="P293" s="3">
        <f>MIN(J293,L293,N293)</f>
        <v/>
      </c>
      <c r="Q293">
        <f>G293*P293</f>
        <v/>
      </c>
      <c r="R293">
        <f>IF(ISBLANK(H293),0,G293*H293)</f>
        <v/>
      </c>
      <c r="S293">
        <f>IF(R293=0,0,(R293-Q293)/R293)</f>
        <v/>
      </c>
    </row>
    <row r="294">
      <c r="A294" t="inlineStr">
        <is>
          <t>A7013</t>
        </is>
      </c>
      <c r="B294" t="inlineStr">
        <is>
          <t>R07</t>
        </is>
      </c>
      <c r="C294" t="inlineStr">
        <is>
          <t>Nebulizer filter - disposable</t>
        </is>
      </c>
      <c r="D294" t="n">
        <v>50</v>
      </c>
      <c r="E294" s="2" t="n">
        <v>0.67</v>
      </c>
      <c r="F294" t="inlineStr"/>
      <c r="G294" s="2" t="inlineStr"/>
      <c r="H294" t="inlineStr"/>
      <c r="I294" s="2" t="inlineStr"/>
      <c r="J294" t="inlineStr"/>
      <c r="K294" s="2" t="inlineStr"/>
      <c r="L294" t="inlineStr"/>
      <c r="M294" s="2" t="inlineStr"/>
      <c r="N294" s="2" t="inlineStr"/>
      <c r="O294" s="2">
        <f>IF(P294=J294,I294,IF(P294=L294,K294,M294))</f>
        <v/>
      </c>
      <c r="P294" s="3">
        <f>MIN(J294,L294,N294)</f>
        <v/>
      </c>
      <c r="Q294">
        <f>G294*P294</f>
        <v/>
      </c>
      <c r="R294">
        <f>IF(ISBLANK(H294),0,G294*H294)</f>
        <v/>
      </c>
      <c r="S294">
        <f>IF(R294=0,0,(R294-Q294)/R294)</f>
        <v/>
      </c>
    </row>
    <row r="295">
      <c r="A295" t="inlineStr">
        <is>
          <t>L1820</t>
        </is>
      </c>
      <c r="B295" t="inlineStr">
        <is>
          <t>OR03</t>
        </is>
      </c>
      <c r="C295" t="inlineStr">
        <is>
          <t>Knee orthosis - soft interface</t>
        </is>
      </c>
      <c r="D295" t="n">
        <v>4</v>
      </c>
      <c r="E295" s="2" t="n"/>
      <c r="F295" t="inlineStr"/>
      <c r="G295" s="2" t="inlineStr"/>
      <c r="H295" t="inlineStr"/>
      <c r="I295" s="2" t="inlineStr"/>
      <c r="J295" t="inlineStr"/>
      <c r="K295" s="2" t="inlineStr"/>
      <c r="L295" t="inlineStr"/>
      <c r="M295" s="2" t="inlineStr"/>
      <c r="N295" s="2" t="inlineStr"/>
      <c r="O295" s="2">
        <f>IF(P295=J295,I295,IF(P295=L295,K295,M295))</f>
        <v/>
      </c>
      <c r="P295" s="3">
        <f>MIN(J295,L295,N295)</f>
        <v/>
      </c>
      <c r="Q295">
        <f>G295*P295</f>
        <v/>
      </c>
      <c r="R295">
        <f>IF(ISBLANK(H295),0,G295*H295)</f>
        <v/>
      </c>
      <c r="S295">
        <f>IF(R295=0,0,(R295-Q295)/R295)</f>
        <v/>
      </c>
    </row>
    <row r="296">
      <c r="A296" t="inlineStr">
        <is>
          <t>L1810</t>
        </is>
      </c>
      <c r="B296" t="inlineStr">
        <is>
          <t>OR03</t>
        </is>
      </c>
      <c r="C296" t="inlineStr">
        <is>
          <t>Knee orthosis - elastic support</t>
        </is>
      </c>
      <c r="D296" t="n">
        <v>4</v>
      </c>
      <c r="E296" s="2" t="n"/>
      <c r="F296" t="inlineStr"/>
      <c r="G296" s="2" t="inlineStr"/>
      <c r="H296" t="inlineStr"/>
      <c r="I296" s="2" t="inlineStr"/>
      <c r="J296" t="inlineStr"/>
      <c r="K296" s="2" t="inlineStr"/>
      <c r="L296" t="inlineStr"/>
      <c r="M296" s="2" t="inlineStr"/>
      <c r="N296" s="2" t="inlineStr"/>
      <c r="O296" s="2">
        <f>IF(P296=J296,I296,IF(P296=L296,K296,M296))</f>
        <v/>
      </c>
      <c r="P296" s="3">
        <f>MIN(J296,L296,N296)</f>
        <v/>
      </c>
      <c r="Q296">
        <f>G296*P296</f>
        <v/>
      </c>
      <c r="R296">
        <f>IF(ISBLANK(H296),0,G296*H296)</f>
        <v/>
      </c>
      <c r="S296">
        <f>IF(R296=0,0,(R296-Q296)/R296)</f>
        <v/>
      </c>
    </row>
    <row r="297">
      <c r="A297" t="inlineStr">
        <is>
          <t>L0625</t>
        </is>
      </c>
      <c r="B297" t="inlineStr">
        <is>
          <t>OR03</t>
        </is>
      </c>
      <c r="C297" t="inlineStr">
        <is>
          <t>Lumbar orthosis - sagittal-coronal control</t>
        </is>
      </c>
      <c r="D297" t="n">
        <v>3</v>
      </c>
      <c r="E297" s="2" t="n">
        <v>26.92</v>
      </c>
      <c r="F297" t="inlineStr"/>
      <c r="G297" s="2" t="inlineStr"/>
      <c r="H297" t="inlineStr"/>
      <c r="I297" s="2" t="inlineStr"/>
      <c r="J297" t="inlineStr"/>
      <c r="K297" s="2" t="inlineStr"/>
      <c r="L297" t="inlineStr"/>
      <c r="M297" s="2" t="inlineStr"/>
      <c r="N297" s="2" t="inlineStr"/>
      <c r="O297" s="2">
        <f>IF(P297=J297,I297,IF(P297=L297,K297,M297))</f>
        <v/>
      </c>
      <c r="P297" s="3">
        <f>MIN(J297,L297,N297)</f>
        <v/>
      </c>
      <c r="Q297">
        <f>G297*P297</f>
        <v/>
      </c>
      <c r="R297">
        <f>IF(ISBLANK(H297),0,G297*H297)</f>
        <v/>
      </c>
      <c r="S297">
        <f>IF(R297=0,0,(R297-Q297)/R297)</f>
        <v/>
      </c>
    </row>
    <row r="298">
      <c r="A298" t="inlineStr">
        <is>
          <t>L3908</t>
        </is>
      </c>
      <c r="B298" t="inlineStr">
        <is>
          <t>OR03</t>
        </is>
      </c>
      <c r="C298" t="inlineStr">
        <is>
          <t>Wrist-hand-finger orthosis</t>
        </is>
      </c>
      <c r="D298" t="n">
        <v>4</v>
      </c>
      <c r="E298" s="2" t="n">
        <v>88.06</v>
      </c>
      <c r="F298" t="inlineStr"/>
      <c r="G298" s="2" t="inlineStr"/>
      <c r="H298" t="inlineStr"/>
      <c r="I298" s="2" t="inlineStr"/>
      <c r="J298" t="inlineStr"/>
      <c r="K298" s="2" t="inlineStr"/>
      <c r="L298" t="inlineStr"/>
      <c r="M298" s="2" t="inlineStr"/>
      <c r="N298" s="2" t="inlineStr"/>
      <c r="O298" s="2">
        <f>IF(P298=J298,I298,IF(P298=L298,K298,M298))</f>
        <v/>
      </c>
      <c r="P298" s="3">
        <f>MIN(J298,L298,N298)</f>
        <v/>
      </c>
      <c r="Q298">
        <f>G298*P298</f>
        <v/>
      </c>
      <c r="R298">
        <f>IF(ISBLANK(H298),0,G298*H298)</f>
        <v/>
      </c>
      <c r="S298">
        <f>IF(R298=0,0,(R298-Q298)/R298)</f>
        <v/>
      </c>
    </row>
    <row r="299">
      <c r="A299" t="inlineStr">
        <is>
          <t>L1830</t>
        </is>
      </c>
      <c r="B299" t="inlineStr">
        <is>
          <t>OR03</t>
        </is>
      </c>
      <c r="C299" t="inlineStr">
        <is>
          <t>Knee orthosis - rigid support</t>
        </is>
      </c>
      <c r="D299" t="n">
        <v>4</v>
      </c>
      <c r="E299" s="2" t="n">
        <v>51.32</v>
      </c>
      <c r="F299" t="inlineStr"/>
      <c r="G299" s="2" t="inlineStr"/>
      <c r="H299" t="inlineStr"/>
      <c r="I299" s="2" t="inlineStr"/>
      <c r="J299" t="inlineStr"/>
      <c r="K299" s="2" t="inlineStr"/>
      <c r="L299" t="inlineStr"/>
      <c r="M299" s="2" t="inlineStr"/>
      <c r="N299" s="2" t="inlineStr"/>
      <c r="O299" s="2">
        <f>IF(P299=J299,I299,IF(P299=L299,K299,M299))</f>
        <v/>
      </c>
      <c r="P299" s="3">
        <f>MIN(J299,L299,N299)</f>
        <v/>
      </c>
      <c r="Q299">
        <f>G299*P299</f>
        <v/>
      </c>
      <c r="R299">
        <f>IF(ISBLANK(H299),0,G299*H299)</f>
        <v/>
      </c>
      <c r="S299">
        <f>IF(R299=0,0,(R299-Q299)/R299)</f>
        <v/>
      </c>
    </row>
    <row r="300">
      <c r="A300" t="inlineStr">
        <is>
          <t>L0621</t>
        </is>
      </c>
      <c r="B300" t="inlineStr">
        <is>
          <t>OR03</t>
        </is>
      </c>
      <c r="C300" t="inlineStr">
        <is>
          <t>Lumbar orthosis - sagittal control</t>
        </is>
      </c>
      <c r="D300" t="n">
        <v>3</v>
      </c>
      <c r="E300" s="2" t="n">
        <v>48.11</v>
      </c>
      <c r="F300" t="inlineStr"/>
      <c r="G300" s="2" t="inlineStr"/>
      <c r="H300" t="inlineStr"/>
      <c r="I300" s="2" t="inlineStr"/>
      <c r="J300" t="inlineStr"/>
      <c r="K300" s="2" t="inlineStr"/>
      <c r="L300" t="inlineStr"/>
      <c r="M300" s="2" t="inlineStr"/>
      <c r="N300" s="2" t="inlineStr"/>
      <c r="O300" s="2">
        <f>IF(P300=J300,I300,IF(P300=L300,K300,M300))</f>
        <v/>
      </c>
      <c r="P300" s="3">
        <f>MIN(J300,L300,N300)</f>
        <v/>
      </c>
      <c r="Q300">
        <f>G300*P300</f>
        <v/>
      </c>
      <c r="R300">
        <f>IF(ISBLANK(H300),0,G300*H300)</f>
        <v/>
      </c>
      <c r="S300">
        <f>IF(R300=0,0,(R300-Q300)/R300)</f>
        <v/>
      </c>
    </row>
    <row r="301">
      <c r="A301" t="inlineStr">
        <is>
          <t>E0217</t>
        </is>
      </c>
      <c r="B301" t="inlineStr">
        <is>
          <t>DM08</t>
        </is>
      </c>
      <c r="C301" t="inlineStr">
        <is>
          <t>Electric heating pad - moist</t>
        </is>
      </c>
      <c r="D301" t="n">
        <v>10</v>
      </c>
      <c r="E301" s="2" t="n">
        <v>589.61</v>
      </c>
      <c r="F301" t="inlineStr"/>
      <c r="G301" s="2" t="inlineStr"/>
      <c r="H301" t="inlineStr"/>
      <c r="I301" s="2" t="inlineStr"/>
      <c r="J301" t="inlineStr"/>
      <c r="K301" s="2" t="inlineStr"/>
      <c r="L301" t="inlineStr"/>
      <c r="M301" s="2" t="inlineStr"/>
      <c r="N301" s="2" t="inlineStr"/>
      <c r="O301" s="2">
        <f>IF(P301=J301,I301,IF(P301=L301,K301,M301))</f>
        <v/>
      </c>
      <c r="P301" s="3">
        <f>MIN(J301,L301,N301)</f>
        <v/>
      </c>
      <c r="Q301">
        <f>G301*P301</f>
        <v/>
      </c>
      <c r="R301">
        <f>IF(ISBLANK(H301),0,G301*H301)</f>
        <v/>
      </c>
      <c r="S301">
        <f>IF(R301=0,0,(R301-Q301)/R301)</f>
        <v/>
      </c>
    </row>
    <row r="302">
      <c r="A302" t="inlineStr">
        <is>
          <t>E0215</t>
        </is>
      </c>
      <c r="B302" t="inlineStr">
        <is>
          <t>DM08</t>
        </is>
      </c>
      <c r="C302" t="inlineStr">
        <is>
          <t>Electric heating pad - standard</t>
        </is>
      </c>
      <c r="D302" t="n">
        <v>10</v>
      </c>
      <c r="E302" s="2" t="n">
        <v>84.13</v>
      </c>
      <c r="F302" t="inlineStr"/>
      <c r="G302" s="2" t="inlineStr"/>
      <c r="H302" t="inlineStr"/>
      <c r="I302" s="2" t="inlineStr"/>
      <c r="J302" t="inlineStr"/>
      <c r="K302" s="2" t="inlineStr"/>
      <c r="L302" t="inlineStr"/>
      <c r="M302" s="2" t="inlineStr"/>
      <c r="N302" s="2" t="inlineStr"/>
      <c r="O302" s="2">
        <f>IF(P302=J302,I302,IF(P302=L302,K302,M302))</f>
        <v/>
      </c>
      <c r="P302" s="3">
        <f>MIN(J302,L302,N302)</f>
        <v/>
      </c>
      <c r="Q302">
        <f>G302*P302</f>
        <v/>
      </c>
      <c r="R302">
        <f>IF(ISBLANK(H302),0,G302*H302)</f>
        <v/>
      </c>
      <c r="S302">
        <f>IF(R302=0,0,(R302-Q302)/R302)</f>
        <v/>
      </c>
    </row>
    <row r="303">
      <c r="A303" t="inlineStr">
        <is>
          <t>E0198</t>
        </is>
      </c>
      <c r="B303" t="inlineStr">
        <is>
          <t>DM20</t>
        </is>
      </c>
      <c r="C303" t="inlineStr">
        <is>
          <t>Water pressure pad - standard mattress</t>
        </is>
      </c>
      <c r="D303" t="n">
        <v>4</v>
      </c>
      <c r="E303" s="2" t="n"/>
      <c r="F303" t="inlineStr"/>
      <c r="G303" s="2" t="inlineStr"/>
      <c r="H303" t="inlineStr"/>
      <c r="I303" s="2" t="inlineStr"/>
      <c r="J303" t="inlineStr"/>
      <c r="K303" s="2" t="inlineStr"/>
      <c r="L303" t="inlineStr"/>
      <c r="M303" s="2" t="inlineStr"/>
      <c r="N303" s="2" t="inlineStr"/>
      <c r="O303" s="2">
        <f>IF(P303=J303,I303,IF(P303=L303,K303,M303))</f>
        <v/>
      </c>
      <c r="P303" s="3">
        <f>MIN(J303,L303,N303)</f>
        <v/>
      </c>
      <c r="Q303">
        <f>G303*P303</f>
        <v/>
      </c>
      <c r="R303">
        <f>IF(ISBLANK(H303),0,G303*H303)</f>
        <v/>
      </c>
      <c r="S303">
        <f>IF(R303=0,0,(R303-Q303)/R303)</f>
        <v/>
      </c>
    </row>
    <row r="304">
      <c r="A304" t="inlineStr">
        <is>
          <t>E0277</t>
        </is>
      </c>
      <c r="B304" t="inlineStr">
        <is>
          <t>DM20</t>
        </is>
      </c>
      <c r="C304" t="inlineStr">
        <is>
          <t>Low air loss mattress</t>
        </is>
      </c>
      <c r="D304" t="n">
        <v>1</v>
      </c>
      <c r="E304" s="2" t="n"/>
      <c r="F304" t="inlineStr"/>
      <c r="G304" s="2" t="inlineStr"/>
      <c r="H304" t="inlineStr"/>
      <c r="I304" s="2" t="inlineStr"/>
      <c r="J304" t="inlineStr"/>
      <c r="K304" s="2" t="inlineStr"/>
      <c r="L304" t="inlineStr"/>
      <c r="M304" s="2" t="inlineStr"/>
      <c r="N304" s="2" t="inlineStr"/>
      <c r="O304" s="2">
        <f>IF(P304=J304,I304,IF(P304=L304,K304,M304))</f>
        <v/>
      </c>
      <c r="P304" s="3">
        <f>MIN(J304,L304,N304)</f>
        <v/>
      </c>
      <c r="Q304">
        <f>G304*P304</f>
        <v/>
      </c>
      <c r="R304">
        <f>IF(ISBLANK(H304),0,G304*H304)</f>
        <v/>
      </c>
      <c r="S304">
        <f>IF(R304=0,0,(R304-Q304)/R304)</f>
        <v/>
      </c>
    </row>
    <row r="305">
      <c r="A305" t="inlineStr">
        <is>
          <t>E0652</t>
        </is>
      </c>
      <c r="B305" t="inlineStr">
        <is>
          <t>DM18</t>
        </is>
      </c>
      <c r="C305" t="inlineStr">
        <is>
          <t>Pneumatic compression pump - segmental home</t>
        </is>
      </c>
      <c r="D305" t="n">
        <v>1</v>
      </c>
      <c r="E305" s="2" t="n">
        <v>7027.67</v>
      </c>
      <c r="F305" t="inlineStr"/>
      <c r="G305" s="2" t="inlineStr"/>
      <c r="H305" t="inlineStr"/>
      <c r="I305" s="2" t="inlineStr"/>
      <c r="J305" t="inlineStr"/>
      <c r="K305" s="2" t="inlineStr"/>
      <c r="L305" t="inlineStr"/>
      <c r="M305" s="2" t="inlineStr"/>
      <c r="N305" s="2" t="inlineStr"/>
      <c r="O305" s="2">
        <f>IF(P305=J305,I305,IF(P305=L305,K305,M305))</f>
        <v/>
      </c>
      <c r="P305" s="3">
        <f>MIN(J305,L305,N305)</f>
        <v/>
      </c>
      <c r="Q305">
        <f>G305*P305</f>
        <v/>
      </c>
      <c r="R305">
        <f>IF(ISBLANK(H305),0,G305*H305)</f>
        <v/>
      </c>
      <c r="S305">
        <f>IF(R305=0,0,(R305-Q305)/R305)</f>
        <v/>
      </c>
    </row>
    <row r="306">
      <c r="A306" t="inlineStr">
        <is>
          <t>E0651</t>
        </is>
      </c>
      <c r="B306" t="inlineStr">
        <is>
          <t>DM18</t>
        </is>
      </c>
      <c r="C306" t="inlineStr">
        <is>
          <t>Pneumatic compression pump - non-segmental home</t>
        </is>
      </c>
      <c r="D306" t="n">
        <v>1</v>
      </c>
      <c r="E306" s="2" t="n">
        <v>1090.71</v>
      </c>
      <c r="F306" t="inlineStr"/>
      <c r="G306" s="2" t="inlineStr"/>
      <c r="H306" t="inlineStr"/>
      <c r="I306" s="2" t="inlineStr"/>
      <c r="J306" t="inlineStr"/>
      <c r="K306" s="2" t="inlineStr"/>
      <c r="L306" t="inlineStr"/>
      <c r="M306" s="2" t="inlineStr"/>
      <c r="N306" s="2" t="inlineStr"/>
      <c r="O306" s="2">
        <f>IF(P306=J306,I306,IF(P306=L306,K306,M306))</f>
        <v/>
      </c>
      <c r="P306" s="3">
        <f>MIN(J306,L306,N306)</f>
        <v/>
      </c>
      <c r="Q306">
        <f>G306*P306</f>
        <v/>
      </c>
      <c r="R306">
        <f>IF(ISBLANK(H306),0,G306*H306)</f>
        <v/>
      </c>
      <c r="S306">
        <f>IF(R306=0,0,(R306-Q306)/R306)</f>
        <v/>
      </c>
    </row>
    <row r="307">
      <c r="A307" t="inlineStr">
        <is>
          <t>E0197</t>
        </is>
      </c>
      <c r="B307" t="inlineStr">
        <is>
          <t>DM20</t>
        </is>
      </c>
      <c r="C307" t="inlineStr">
        <is>
          <t>Air pressure pad - standard mattress</t>
        </is>
      </c>
      <c r="D307" t="n">
        <v>4</v>
      </c>
      <c r="E307" s="2" t="n"/>
      <c r="F307" t="inlineStr"/>
      <c r="G307" s="2" t="inlineStr"/>
      <c r="H307" t="inlineStr"/>
      <c r="I307" s="2" t="inlineStr"/>
      <c r="J307" t="inlineStr"/>
      <c r="K307" s="2" t="inlineStr"/>
      <c r="L307" t="inlineStr"/>
      <c r="M307" s="2" t="inlineStr"/>
      <c r="N307" s="2" t="inlineStr"/>
      <c r="O307" s="2">
        <f>IF(P307=J307,I307,IF(P307=L307,K307,M307))</f>
        <v/>
      </c>
      <c r="P307" s="3">
        <f>MIN(J307,L307,N307)</f>
        <v/>
      </c>
      <c r="Q307">
        <f>G307*P307</f>
        <v/>
      </c>
      <c r="R307">
        <f>IF(ISBLANK(H307),0,G307*H307)</f>
        <v/>
      </c>
      <c r="S307">
        <f>IF(R307=0,0,(R307-Q307)/R307)</f>
        <v/>
      </c>
    </row>
    <row r="308">
      <c r="A308" t="inlineStr">
        <is>
          <t>E0186</t>
        </is>
      </c>
      <c r="B308" t="inlineStr">
        <is>
          <t>DM20</t>
        </is>
      </c>
      <c r="C308" t="inlineStr">
        <is>
          <t>Air pressure mattress</t>
        </is>
      </c>
      <c r="D308" t="n">
        <v>2</v>
      </c>
      <c r="E308" s="2" t="n"/>
      <c r="F308" t="inlineStr"/>
      <c r="G308" s="2" t="inlineStr"/>
      <c r="H308" t="inlineStr"/>
      <c r="I308" s="2" t="inlineStr"/>
      <c r="J308" t="inlineStr"/>
      <c r="K308" s="2" t="inlineStr"/>
      <c r="L308" t="inlineStr"/>
      <c r="M308" s="2" t="inlineStr"/>
      <c r="N308" s="2" t="inlineStr"/>
      <c r="O308" s="2">
        <f>IF(P308=J308,I308,IF(P308=L308,K308,M308))</f>
        <v/>
      </c>
      <c r="P308" s="3">
        <f>MIN(J308,L308,N308)</f>
        <v/>
      </c>
      <c r="Q308">
        <f>G308*P308</f>
        <v/>
      </c>
      <c r="R308">
        <f>IF(ISBLANK(H308),0,G308*H308)</f>
        <v/>
      </c>
      <c r="S308">
        <f>IF(R308=0,0,(R308-Q308)/R308)</f>
        <v/>
      </c>
    </row>
    <row r="309">
      <c r="A309" t="inlineStr">
        <is>
          <t>E0196</t>
        </is>
      </c>
      <c r="B309" t="inlineStr">
        <is>
          <t>DM20</t>
        </is>
      </c>
      <c r="C309" t="inlineStr">
        <is>
          <t>Gel pressure pad - standard mattress</t>
        </is>
      </c>
      <c r="D309" t="n">
        <v>3</v>
      </c>
      <c r="E309" s="2" t="n"/>
      <c r="F309" t="inlineStr"/>
      <c r="G309" s="2" t="inlineStr"/>
      <c r="H309" t="inlineStr"/>
      <c r="I309" s="2" t="inlineStr"/>
      <c r="J309" t="inlineStr"/>
      <c r="K309" s="2" t="inlineStr"/>
      <c r="L309" t="inlineStr"/>
      <c r="M309" s="2" t="inlineStr"/>
      <c r="N309" s="2" t="inlineStr"/>
      <c r="O309" s="2">
        <f>IF(P309=J309,I309,IF(P309=L309,K309,M309))</f>
        <v/>
      </c>
      <c r="P309" s="3">
        <f>MIN(J309,L309,N309)</f>
        <v/>
      </c>
      <c r="Q309">
        <f>G309*P309</f>
        <v/>
      </c>
      <c r="R309">
        <f>IF(ISBLANK(H309),0,G309*H309)</f>
        <v/>
      </c>
      <c r="S309">
        <f>IF(R309=0,0,(R309-Q309)/R309)</f>
        <v/>
      </c>
    </row>
    <row r="310">
      <c r="A310" t="inlineStr">
        <is>
          <t>E0199</t>
        </is>
      </c>
      <c r="B310" t="inlineStr">
        <is>
          <t>DM20</t>
        </is>
      </c>
      <c r="C310" t="inlineStr">
        <is>
          <t>Dry pressure pad - standard mattress width</t>
        </is>
      </c>
      <c r="D310" t="n">
        <v>4</v>
      </c>
      <c r="E310" s="2" t="n">
        <v>33.72</v>
      </c>
      <c r="F310" t="inlineStr"/>
      <c r="G310" s="2" t="inlineStr"/>
      <c r="H310" t="inlineStr"/>
      <c r="I310" s="2" t="inlineStr"/>
      <c r="J310" t="inlineStr"/>
      <c r="K310" s="2" t="inlineStr"/>
      <c r="L310" t="inlineStr"/>
      <c r="M310" s="2" t="inlineStr"/>
      <c r="N310" s="2" t="inlineStr"/>
      <c r="O310" s="2">
        <f>IF(P310=J310,I310,IF(P310=L310,K310,M310))</f>
        <v/>
      </c>
      <c r="P310" s="3">
        <f>MIN(J310,L310,N310)</f>
        <v/>
      </c>
      <c r="Q310">
        <f>G310*P310</f>
        <v/>
      </c>
      <c r="R310">
        <f>IF(ISBLANK(H310),0,G310*H310)</f>
        <v/>
      </c>
      <c r="S310">
        <f>IF(R310=0,0,(R310-Q310)/R310)</f>
        <v/>
      </c>
    </row>
    <row r="311">
      <c r="A311" t="inlineStr">
        <is>
          <t>E0221</t>
        </is>
      </c>
      <c r="B311" t="inlineStr">
        <is>
          <t>DM11</t>
        </is>
      </c>
      <c r="C311" t="inlineStr">
        <is>
          <t>Infrared heating pad system</t>
        </is>
      </c>
      <c r="D311" t="n">
        <v>3</v>
      </c>
      <c r="E311" s="2" t="n"/>
      <c r="F311" t="inlineStr"/>
      <c r="G311" s="2" t="inlineStr"/>
      <c r="H311" t="inlineStr"/>
      <c r="I311" s="2" t="inlineStr"/>
      <c r="J311" t="inlineStr"/>
      <c r="K311" s="2" t="inlineStr"/>
      <c r="L311" t="inlineStr"/>
      <c r="M311" s="2" t="inlineStr"/>
      <c r="N311" s="2" t="inlineStr"/>
      <c r="O311" s="2">
        <f>IF(P311=J311,I311,IF(P311=L311,K311,M311))</f>
        <v/>
      </c>
      <c r="P311" s="3">
        <f>MIN(J311,L311,N311)</f>
        <v/>
      </c>
      <c r="Q311">
        <f>G311*P311</f>
        <v/>
      </c>
      <c r="R311">
        <f>IF(ISBLANK(H311),0,G311*H311)</f>
        <v/>
      </c>
      <c r="S311">
        <f>IF(R311=0,0,(R311-Q311)/R311)</f>
        <v/>
      </c>
    </row>
    <row r="312">
      <c r="A312" t="inlineStr">
        <is>
          <t>A4639</t>
        </is>
      </c>
      <c r="B312" t="inlineStr">
        <is>
          <t>DM11</t>
        </is>
      </c>
      <c r="C312" t="inlineStr">
        <is>
          <t>Infrared pad replacement</t>
        </is>
      </c>
      <c r="D312" t="n">
        <v>10</v>
      </c>
      <c r="E312" s="2" t="n"/>
      <c r="F312" t="inlineStr"/>
      <c r="G312" s="2" t="inlineStr"/>
      <c r="H312" t="inlineStr"/>
      <c r="I312" s="2" t="inlineStr"/>
      <c r="J312" t="inlineStr"/>
      <c r="K312" s="2" t="inlineStr"/>
      <c r="L312" t="inlineStr"/>
      <c r="M312" s="2" t="inlineStr"/>
      <c r="N312" s="2" t="inlineStr"/>
      <c r="O312" s="2">
        <f>IF(P312=J312,I312,IF(P312=L312,K312,M312))</f>
        <v/>
      </c>
      <c r="P312" s="3">
        <f>MIN(J312,L312,N312)</f>
        <v/>
      </c>
      <c r="Q312">
        <f>G312*P312</f>
        <v/>
      </c>
      <c r="R312">
        <f>IF(ISBLANK(H312),0,G312*H312)</f>
        <v/>
      </c>
      <c r="S312">
        <f>IF(R312=0,0,(R312-Q312)/R312)</f>
        <v/>
      </c>
    </row>
    <row r="313">
      <c r="A313" t="inlineStr">
        <is>
          <t>E0236</t>
        </is>
      </c>
      <c r="B313" t="inlineStr">
        <is>
          <t>DM08</t>
        </is>
      </c>
      <c r="C313" t="inlineStr">
        <is>
          <t>Pump for water circulating pad</t>
        </is>
      </c>
      <c r="D313" t="n">
        <v>10</v>
      </c>
      <c r="E313" s="2" t="n"/>
      <c r="F313" t="inlineStr"/>
      <c r="G313" s="2" t="inlineStr"/>
      <c r="H313" t="inlineStr"/>
      <c r="I313" s="2" t="inlineStr"/>
      <c r="J313" t="inlineStr"/>
      <c r="K313" s="2" t="inlineStr"/>
      <c r="L313" t="inlineStr"/>
      <c r="M313" s="2" t="inlineStr"/>
      <c r="N313" s="2" t="inlineStr"/>
      <c r="O313" s="2">
        <f>IF(P313=J313,I313,IF(P313=L313,K313,M313))</f>
        <v/>
      </c>
      <c r="P313" s="3">
        <f>MIN(J313,L313,N313)</f>
        <v/>
      </c>
      <c r="Q313">
        <f>G313*P313</f>
        <v/>
      </c>
      <c r="R313">
        <f>IF(ISBLANK(H313),0,G313*H313)</f>
        <v/>
      </c>
      <c r="S313">
        <f>IF(R313=0,0,(R313-Q313)/R313)</f>
        <v/>
      </c>
    </row>
    <row r="314">
      <c r="A314" t="inlineStr">
        <is>
          <t>E0230</t>
        </is>
      </c>
      <c r="B314" t="inlineStr">
        <is>
          <t>DM08</t>
        </is>
      </c>
      <c r="C314" t="inlineStr">
        <is>
          <t>Ice cap or collar</t>
        </is>
      </c>
      <c r="D314" t="n">
        <v>10</v>
      </c>
      <c r="E314" s="2" t="n"/>
      <c r="F314" t="inlineStr"/>
      <c r="G314" s="2" t="inlineStr"/>
      <c r="H314" t="inlineStr"/>
      <c r="I314" s="2" t="inlineStr"/>
      <c r="J314" t="inlineStr"/>
      <c r="K314" s="2" t="inlineStr"/>
      <c r="L314" t="inlineStr"/>
      <c r="M314" s="2" t="inlineStr"/>
      <c r="N314" s="2" t="inlineStr"/>
      <c r="O314" s="2">
        <f>IF(P314=J314,I314,IF(P314=L314,K314,M314))</f>
        <v/>
      </c>
      <c r="P314" s="3">
        <f>MIN(J314,L314,N314)</f>
        <v/>
      </c>
      <c r="Q314">
        <f>G314*P314</f>
        <v/>
      </c>
      <c r="R314">
        <f>IF(ISBLANK(H314),0,G314*H314)</f>
        <v/>
      </c>
      <c r="S314">
        <f>IF(R314=0,0,(R314-Q314)/R314)</f>
        <v/>
      </c>
    </row>
    <row r="315">
      <c r="A315" t="inlineStr">
        <is>
          <t>E0235</t>
        </is>
      </c>
      <c r="B315" t="inlineStr">
        <is>
          <t>DM08</t>
        </is>
      </c>
      <c r="C315" t="inlineStr">
        <is>
          <t>Paraffin bath unit</t>
        </is>
      </c>
      <c r="D315" t="n">
        <v>1</v>
      </c>
      <c r="E315" s="2" t="n"/>
      <c r="F315" t="inlineStr"/>
      <c r="G315" s="2" t="inlineStr"/>
      <c r="H315" t="inlineStr"/>
      <c r="I315" s="2" t="inlineStr"/>
      <c r="J315" t="inlineStr"/>
      <c r="K315" s="2" t="inlineStr"/>
      <c r="L315" t="inlineStr"/>
      <c r="M315" s="2" t="inlineStr"/>
      <c r="N315" s="2" t="inlineStr"/>
      <c r="O315" s="2">
        <f>IF(P315=J315,I315,IF(P315=L315,K315,M315))</f>
        <v/>
      </c>
      <c r="P315" s="3">
        <f>MIN(J315,L315,N315)</f>
        <v/>
      </c>
      <c r="Q315">
        <f>G315*P315</f>
        <v/>
      </c>
      <c r="R315">
        <f>IF(ISBLANK(H315),0,G315*H315)</f>
        <v/>
      </c>
      <c r="S315">
        <f>IF(R315=0,0,(R315-Q315)/R315)</f>
        <v/>
      </c>
    </row>
    <row r="316">
      <c r="A316" t="inlineStr">
        <is>
          <t>E0239</t>
        </is>
      </c>
      <c r="B316" t="inlineStr">
        <is>
          <t>DM08</t>
        </is>
      </c>
      <c r="C316" t="inlineStr">
        <is>
          <t>Hydrocollator unit - portable</t>
        </is>
      </c>
      <c r="D316" t="n">
        <v>15</v>
      </c>
      <c r="E316" s="2" t="n">
        <v>534.23</v>
      </c>
      <c r="F316" t="inlineStr"/>
      <c r="G316" s="2" t="inlineStr"/>
      <c r="H316" t="inlineStr"/>
      <c r="I316" s="2" t="inlineStr"/>
      <c r="J316" t="inlineStr"/>
      <c r="K316" s="2" t="inlineStr"/>
      <c r="L316" t="inlineStr"/>
      <c r="M316" s="2" t="inlineStr"/>
      <c r="N316" s="2" t="inlineStr"/>
      <c r="O316" s="2">
        <f>IF(P316=J316,I316,IF(P316=L316,K316,M316))</f>
        <v/>
      </c>
      <c r="P316" s="3">
        <f>MIN(J316,L316,N316)</f>
        <v/>
      </c>
      <c r="Q316">
        <f>G316*P316</f>
        <v/>
      </c>
      <c r="R316">
        <f>IF(ISBLANK(H316),0,G316*H316)</f>
        <v/>
      </c>
      <c r="S316">
        <f>IF(R316=0,0,(R316-Q316)/R316)</f>
        <v/>
      </c>
    </row>
    <row r="317">
      <c r="A317" t="inlineStr">
        <is>
          <t>E0744</t>
        </is>
      </c>
      <c r="B317" t="inlineStr">
        <is>
          <t>DM16</t>
        </is>
      </c>
      <c r="C317" t="inlineStr">
        <is>
          <t>NMES device - orofacial</t>
        </is>
      </c>
      <c r="D317" t="n">
        <v>2</v>
      </c>
      <c r="E317" s="2" t="n"/>
      <c r="F317" t="inlineStr"/>
      <c r="G317" s="2" t="inlineStr"/>
      <c r="H317" t="inlineStr"/>
      <c r="I317" s="2" t="inlineStr"/>
      <c r="J317" t="inlineStr"/>
      <c r="K317" s="2" t="inlineStr"/>
      <c r="L317" t="inlineStr"/>
      <c r="M317" s="2" t="inlineStr"/>
      <c r="N317" s="2" t="inlineStr"/>
      <c r="O317" s="2">
        <f>IF(P317=J317,I317,IF(P317=L317,K317,M317))</f>
        <v/>
      </c>
      <c r="P317" s="3">
        <f>MIN(J317,L317,N317)</f>
        <v/>
      </c>
      <c r="Q317">
        <f>G317*P317</f>
        <v/>
      </c>
      <c r="R317">
        <f>IF(ISBLANK(H317),0,G317*H317)</f>
        <v/>
      </c>
      <c r="S317">
        <f>IF(R317=0,0,(R317-Q317)/R317)</f>
        <v/>
      </c>
    </row>
    <row r="318">
      <c r="A318" t="inlineStr">
        <is>
          <t>E0745</t>
        </is>
      </c>
      <c r="B318" t="inlineStr">
        <is>
          <t>DM16</t>
        </is>
      </c>
      <c r="C318" t="inlineStr">
        <is>
          <t>NMES device - other</t>
        </is>
      </c>
      <c r="D318" t="n">
        <v>1</v>
      </c>
      <c r="E318" s="2" t="n"/>
      <c r="F318" t="inlineStr"/>
      <c r="G318" s="2" t="inlineStr"/>
      <c r="H318" t="inlineStr"/>
      <c r="I318" s="2" t="inlineStr"/>
      <c r="J318" t="inlineStr"/>
      <c r="K318" s="2" t="inlineStr"/>
      <c r="L318" t="inlineStr"/>
      <c r="M318" s="2" t="inlineStr"/>
      <c r="N318" s="2" t="inlineStr"/>
      <c r="O318" s="2">
        <f>IF(P318=J318,I318,IF(P318=L318,K318,M318))</f>
        <v/>
      </c>
      <c r="P318" s="3">
        <f>MIN(J318,L318,N318)</f>
        <v/>
      </c>
      <c r="Q318">
        <f>G318*P318</f>
        <v/>
      </c>
      <c r="R318">
        <f>IF(ISBLANK(H318),0,G318*H318)</f>
        <v/>
      </c>
      <c r="S318">
        <f>IF(R318=0,0,(R318-Q318)/R318)</f>
        <v/>
      </c>
    </row>
    <row r="319">
      <c r="A319" t="inlineStr">
        <is>
          <t>E0730</t>
        </is>
      </c>
      <c r="B319" t="inlineStr">
        <is>
          <t>DM22</t>
        </is>
      </c>
      <c r="C319" t="inlineStr">
        <is>
          <t>TENS device - 4 lead</t>
        </is>
      </c>
      <c r="D319" t="n">
        <v>4</v>
      </c>
      <c r="E319" s="2" t="n">
        <v>61.82</v>
      </c>
      <c r="F319" t="inlineStr"/>
      <c r="G319" s="2" t="inlineStr"/>
      <c r="H319" t="inlineStr"/>
      <c r="I319" s="2" t="inlineStr"/>
      <c r="J319" t="inlineStr"/>
      <c r="K319" s="2" t="inlineStr"/>
      <c r="L319" t="inlineStr"/>
      <c r="M319" s="2" t="inlineStr"/>
      <c r="N319" s="2" t="inlineStr"/>
      <c r="O319" s="2">
        <f>IF(P319=J319,I319,IF(P319=L319,K319,M319))</f>
        <v/>
      </c>
      <c r="P319" s="3">
        <f>MIN(J319,L319,N319)</f>
        <v/>
      </c>
      <c r="Q319">
        <f>G319*P319</f>
        <v/>
      </c>
      <c r="R319">
        <f>IF(ISBLANK(H319),0,G319*H319)</f>
        <v/>
      </c>
      <c r="S319">
        <f>IF(R319=0,0,(R319-Q319)/R319)</f>
        <v/>
      </c>
    </row>
    <row r="320">
      <c r="A320" t="inlineStr">
        <is>
          <t>A4595</t>
        </is>
      </c>
      <c r="B320" t="inlineStr">
        <is>
          <t>DM22</t>
        </is>
      </c>
      <c r="C320" t="inlineStr">
        <is>
          <t>TENS electrode pads</t>
        </is>
      </c>
      <c r="D320" t="n">
        <v>80</v>
      </c>
      <c r="E320" s="2" t="n"/>
      <c r="F320" t="inlineStr"/>
      <c r="G320" s="2" t="inlineStr"/>
      <c r="H320" t="inlineStr"/>
      <c r="I320" s="2" t="inlineStr"/>
      <c r="J320" t="inlineStr"/>
      <c r="K320" s="2" t="inlineStr"/>
      <c r="L320" t="inlineStr"/>
      <c r="M320" s="2" t="inlineStr"/>
      <c r="N320" s="2" t="inlineStr"/>
      <c r="O320" s="2">
        <f>IF(P320=J320,I320,IF(P320=L320,K320,M320))</f>
        <v/>
      </c>
      <c r="P320" s="3">
        <f>MIN(J320,L320,N320)</f>
        <v/>
      </c>
      <c r="Q320">
        <f>G320*P320</f>
        <v/>
      </c>
      <c r="R320">
        <f>IF(ISBLANK(H320),0,G320*H320)</f>
        <v/>
      </c>
      <c r="S320">
        <f>IF(R320=0,0,(R320-Q320)/R320)</f>
        <v/>
      </c>
    </row>
    <row r="321">
      <c r="A321" t="inlineStr">
        <is>
          <t>E1011</t>
        </is>
      </c>
      <c r="B321" t="inlineStr">
        <is>
          <t>M06A</t>
        </is>
      </c>
      <c r="C321" t="inlineStr">
        <is>
          <t>MODIFICATION TO PEDIATRIC SIZE WHEELCHAIR, WIDTH ADJUSTMENT PACKAGE (NOT TO BE DISPENSED WITH INITIAL CHAIR)</t>
        </is>
      </c>
      <c r="D321" t="n">
        <v>2</v>
      </c>
      <c r="E321" s="2" t="n"/>
      <c r="F321" t="inlineStr"/>
      <c r="G321" s="2" t="inlineStr"/>
      <c r="H321" t="inlineStr"/>
      <c r="I321" s="2" t="inlineStr"/>
      <c r="J321" t="inlineStr"/>
      <c r="K321" s="2" t="inlineStr"/>
      <c r="L321" t="inlineStr"/>
      <c r="M321" s="2" t="inlineStr"/>
      <c r="N321" s="2" t="inlineStr"/>
      <c r="O321" s="2">
        <f>IF(P321=J321,I321,IF(P321=L321,K321,M321))</f>
        <v/>
      </c>
      <c r="P321" s="3">
        <f>MIN(J321,L321,N321)</f>
        <v/>
      </c>
      <c r="Q321">
        <f>G321*P321</f>
        <v/>
      </c>
      <c r="R321">
        <f>IF(ISBLANK(H321),0,G321*H321)</f>
        <v/>
      </c>
      <c r="S321">
        <f>IF(R321=0,0,(R321-Q321)/R321)</f>
        <v/>
      </c>
    </row>
    <row r="322">
      <c r="A322" t="inlineStr">
        <is>
          <t>E2230</t>
        </is>
      </c>
      <c r="B322" t="inlineStr">
        <is>
          <t>M06A</t>
        </is>
      </c>
      <c r="C322" t="inlineStr">
        <is>
          <t>MANUAL WHEELCHAIR ACCESSORY, MANUAL STANDING SYSTEM</t>
        </is>
      </c>
      <c r="D322" t="n">
        <v>2</v>
      </c>
      <c r="E322" s="2" t="n"/>
      <c r="F322" t="inlineStr"/>
      <c r="G322" s="2" t="inlineStr"/>
      <c r="H322" t="inlineStr"/>
      <c r="I322" s="2" t="inlineStr"/>
      <c r="J322" t="inlineStr"/>
      <c r="K322" s="2" t="inlineStr"/>
      <c r="L322" t="inlineStr"/>
      <c r="M322" s="2" t="inlineStr"/>
      <c r="N322" s="2" t="inlineStr"/>
      <c r="O322" s="2">
        <f>IF(P322=J322,I322,IF(P322=L322,K322,M322))</f>
        <v/>
      </c>
      <c r="P322" s="3">
        <f>MIN(J322,L322,N322)</f>
        <v/>
      </c>
      <c r="Q322">
        <f>G322*P322</f>
        <v/>
      </c>
      <c r="R322">
        <f>IF(ISBLANK(H322),0,G322*H322)</f>
        <v/>
      </c>
      <c r="S322">
        <f>IF(R322=0,0,(R322-Q322)/R322)</f>
        <v/>
      </c>
    </row>
    <row r="323">
      <c r="A323" t="inlineStr">
        <is>
          <t>A6561</t>
        </is>
      </c>
      <c r="B323" t="inlineStr">
        <is>
          <t>S04</t>
        </is>
      </c>
      <c r="C323" t="inlineStr">
        <is>
          <t>GRADIENT COMPRESSION STOCKING, FULL LENGTH/CHAP STYLE, 40 MMHG OR GREATER, CUSTOM, EACH</t>
        </is>
      </c>
      <c r="D323" t="n">
        <v>2</v>
      </c>
      <c r="E323" s="2" t="n"/>
      <c r="F323" t="inlineStr"/>
      <c r="G323" s="2" t="inlineStr"/>
      <c r="H323" t="inlineStr"/>
      <c r="I323" s="2" t="inlineStr"/>
      <c r="J323" t="inlineStr"/>
      <c r="K323" s="2" t="inlineStr"/>
      <c r="L323" t="inlineStr"/>
      <c r="M323" s="2" t="inlineStr"/>
      <c r="N323" s="2" t="inlineStr"/>
      <c r="O323" s="2">
        <f>IF(P323=J323,I323,IF(P323=L323,K323,M323))</f>
        <v/>
      </c>
      <c r="P323" s="3">
        <f>MIN(J323,L323,N323)</f>
        <v/>
      </c>
      <c r="Q323">
        <f>G323*P323</f>
        <v/>
      </c>
      <c r="R323">
        <f>IF(ISBLANK(H323),0,G323*H323)</f>
        <v/>
      </c>
      <c r="S323">
        <f>IF(R323=0,0,(R323-Q323)/R323)</f>
        <v/>
      </c>
    </row>
    <row r="324">
      <c r="A324" t="inlineStr">
        <is>
          <t>A6213</t>
        </is>
      </c>
      <c r="B324" t="inlineStr">
        <is>
          <t>S01</t>
        </is>
      </c>
      <c r="C324" t="inlineStr">
        <is>
          <t>FOAM DRESSING, WOUND COVER, STERILE, PAD SIZE MORE THAN 16 SQ. IN. BUT LESS THAN OR EQUAL TO 48 SQ. IN., WITH ANY SIZE ADHESIVE BORDER, EACH DRESSING</t>
        </is>
      </c>
      <c r="D324" t="n">
        <v>2</v>
      </c>
      <c r="E324" s="2" t="n"/>
      <c r="F324" t="inlineStr"/>
      <c r="G324" s="2" t="inlineStr"/>
      <c r="H324" t="inlineStr"/>
      <c r="I324" s="2" t="inlineStr"/>
      <c r="J324" t="inlineStr"/>
      <c r="K324" s="2" t="inlineStr"/>
      <c r="L324" t="inlineStr"/>
      <c r="M324" s="2" t="inlineStr"/>
      <c r="N324" s="2" t="inlineStr"/>
      <c r="O324" s="2">
        <f>IF(P324=J324,I324,IF(P324=L324,K324,M324))</f>
        <v/>
      </c>
      <c r="P324" s="3">
        <f>MIN(J324,L324,N324)</f>
        <v/>
      </c>
      <c r="Q324">
        <f>G324*P324</f>
        <v/>
      </c>
      <c r="R324">
        <f>IF(ISBLANK(H324),0,G324*H324)</f>
        <v/>
      </c>
      <c r="S324">
        <f>IF(R324=0,0,(R324-Q324)/R324)</f>
        <v/>
      </c>
    </row>
    <row r="325">
      <c r="A325" t="inlineStr">
        <is>
          <t>A6228</t>
        </is>
      </c>
      <c r="B325" t="inlineStr">
        <is>
          <t>S01</t>
        </is>
      </c>
      <c r="C325" t="inlineStr">
        <is>
          <t>GAUZE, IMPREGNATED, WATER OR NORMAL SALINE, STERILE, PAD SIZE 16 SQ. IN. OR LESS, WITHOUT ADHESIVE BORDER, EACH DRESSING</t>
        </is>
      </c>
      <c r="D325" t="n">
        <v>2</v>
      </c>
      <c r="E325" s="2" t="n"/>
      <c r="F325" t="inlineStr"/>
      <c r="G325" s="2" t="inlineStr"/>
      <c r="H325" t="inlineStr"/>
      <c r="I325" s="2" t="inlineStr"/>
      <c r="J325" t="inlineStr"/>
      <c r="K325" s="2" t="inlineStr"/>
      <c r="L325" t="inlineStr"/>
      <c r="M325" s="2" t="inlineStr"/>
      <c r="N325" s="2" t="inlineStr"/>
      <c r="O325" s="2">
        <f>IF(P325=J325,I325,IF(P325=L325,K325,M325))</f>
        <v/>
      </c>
      <c r="P325" s="3">
        <f>MIN(J325,L325,N325)</f>
        <v/>
      </c>
      <c r="Q325">
        <f>G325*P325</f>
        <v/>
      </c>
      <c r="R325">
        <f>IF(ISBLANK(H325),0,G325*H325)</f>
        <v/>
      </c>
      <c r="S325">
        <f>IF(R325=0,0,(R325-Q325)/R325)</f>
        <v/>
      </c>
    </row>
    <row r="326">
      <c r="A326" t="inlineStr">
        <is>
          <t>A6230</t>
        </is>
      </c>
      <c r="B326" t="inlineStr">
        <is>
          <t>S01</t>
        </is>
      </c>
      <c r="C326" t="inlineStr">
        <is>
          <t>GAUZE, IMPREGNATED, WATER OR NORMAL SALINE, STERILE, PAD SIZE MORE THAN 48 SQ. IN., WITHOUT ADHESIVE BORDER, EACH DRESSING</t>
        </is>
      </c>
      <c r="D326" t="n">
        <v>2</v>
      </c>
      <c r="E326" s="2" t="n"/>
      <c r="F326" t="inlineStr"/>
      <c r="G326" s="2" t="inlineStr"/>
      <c r="H326" t="inlineStr"/>
      <c r="I326" s="2" t="inlineStr"/>
      <c r="J326" t="inlineStr"/>
      <c r="K326" s="2" t="inlineStr"/>
      <c r="L326" t="inlineStr"/>
      <c r="M326" s="2" t="inlineStr"/>
      <c r="N326" s="2" t="inlineStr"/>
      <c r="O326" s="2">
        <f>IF(P326=J326,I326,IF(P326=L326,K326,M326))</f>
        <v/>
      </c>
      <c r="P326" s="3">
        <f>MIN(J326,L326,N326)</f>
        <v/>
      </c>
      <c r="Q326">
        <f>G326*P326</f>
        <v/>
      </c>
      <c r="R326">
        <f>IF(ISBLANK(H326),0,G326*H326)</f>
        <v/>
      </c>
      <c r="S326">
        <f>IF(R326=0,0,(R326-Q326)/R326)</f>
        <v/>
      </c>
    </row>
    <row r="327">
      <c r="A327" t="inlineStr">
        <is>
          <t>A4557</t>
        </is>
      </c>
      <c r="B327" t="inlineStr">
        <is>
          <t>DM22</t>
        </is>
      </c>
      <c r="C327" t="inlineStr">
        <is>
          <t>TENS lead wires</t>
        </is>
      </c>
      <c r="D327" t="n">
        <v>15</v>
      </c>
      <c r="E327" s="2" t="n"/>
      <c r="F327" t="inlineStr"/>
      <c r="G327" s="2" t="inlineStr"/>
      <c r="H327" t="inlineStr"/>
      <c r="I327" s="2" t="inlineStr"/>
      <c r="J327" t="inlineStr"/>
      <c r="K327" s="2" t="inlineStr"/>
      <c r="L327" t="inlineStr"/>
      <c r="M327" s="2" t="inlineStr"/>
      <c r="N327" s="2" t="inlineStr"/>
      <c r="O327" s="2">
        <f>IF(P327=J327,I327,IF(P327=L327,K327,M327))</f>
        <v/>
      </c>
      <c r="P327" s="3">
        <f>MIN(J327,L327,N327)</f>
        <v/>
      </c>
      <c r="Q327">
        <f>G327*P327</f>
        <v/>
      </c>
      <c r="R327">
        <f>IF(ISBLANK(H327),0,G327*H327)</f>
        <v/>
      </c>
      <c r="S327">
        <f>IF(R327=0,0,(R327-Q327)/R327)</f>
        <v/>
      </c>
    </row>
    <row r="328">
      <c r="A328" t="inlineStr">
        <is>
          <t>E0731</t>
        </is>
      </c>
      <c r="B328" t="inlineStr">
        <is>
          <t>DM16</t>
        </is>
      </c>
      <c r="C328" t="inlineStr">
        <is>
          <t>NMES device - form fitting conduction garment</t>
        </is>
      </c>
      <c r="D328" t="n">
        <v>2</v>
      </c>
      <c r="E328" s="2" t="n">
        <v>85.63</v>
      </c>
      <c r="F328" t="inlineStr"/>
      <c r="G328" s="2" t="inlineStr"/>
      <c r="H328" t="inlineStr"/>
      <c r="I328" s="2" t="inlineStr"/>
      <c r="J328" t="inlineStr"/>
      <c r="K328" s="2" t="inlineStr"/>
      <c r="L328" t="inlineStr"/>
      <c r="M328" s="2" t="inlineStr"/>
      <c r="N328" s="2" t="inlineStr"/>
      <c r="O328" s="2">
        <f>IF(P328=J328,I328,IF(P328=L328,K328,M328))</f>
        <v/>
      </c>
      <c r="P328" s="3">
        <f>MIN(J328,L328,N328)</f>
        <v/>
      </c>
      <c r="Q328">
        <f>G328*P328</f>
        <v/>
      </c>
      <c r="R328">
        <f>IF(ISBLANK(H328),0,G328*H328)</f>
        <v/>
      </c>
      <c r="S328">
        <f>IF(R328=0,0,(R328-Q328)/R328)</f>
        <v/>
      </c>
    </row>
    <row r="329">
      <c r="A329" t="inlineStr">
        <is>
          <t>E0671</t>
        </is>
      </c>
      <c r="B329" t="inlineStr">
        <is>
          <t>DM18</t>
        </is>
      </c>
      <c r="C329" t="inlineStr">
        <is>
          <t>Pneumatic compression sleeve - segmental arm</t>
        </is>
      </c>
      <c r="D329" t="n">
        <v>3</v>
      </c>
      <c r="E329" s="2" t="n">
        <v>580.33</v>
      </c>
      <c r="F329" t="inlineStr"/>
      <c r="G329" s="2" t="inlineStr"/>
      <c r="H329" t="inlineStr"/>
      <c r="I329" s="2" t="inlineStr"/>
      <c r="J329" t="inlineStr"/>
      <c r="K329" s="2" t="inlineStr"/>
      <c r="L329" t="inlineStr"/>
      <c r="M329" s="2" t="inlineStr"/>
      <c r="N329" s="2" t="inlineStr"/>
      <c r="O329" s="2">
        <f>IF(P329=J329,I329,IF(P329=L329,K329,M329))</f>
        <v/>
      </c>
      <c r="P329" s="3">
        <f>MIN(J329,L329,N329)</f>
        <v/>
      </c>
      <c r="Q329">
        <f>G329*P329</f>
        <v/>
      </c>
      <c r="R329">
        <f>IF(ISBLANK(H329),0,G329*H329)</f>
        <v/>
      </c>
      <c r="S329">
        <f>IF(R329=0,0,(R329-Q329)/R329)</f>
        <v/>
      </c>
    </row>
    <row r="330">
      <c r="A330" t="inlineStr">
        <is>
          <t>E0672</t>
        </is>
      </c>
      <c r="B330" t="inlineStr">
        <is>
          <t>DM18</t>
        </is>
      </c>
      <c r="C330" t="inlineStr">
        <is>
          <t>Pneumatic compression sleeve - segmental leg</t>
        </is>
      </c>
      <c r="D330" t="n">
        <v>5</v>
      </c>
      <c r="E330" s="2" t="n">
        <v>450.9</v>
      </c>
      <c r="F330" t="inlineStr"/>
      <c r="G330" s="2" t="inlineStr"/>
      <c r="H330" t="inlineStr"/>
      <c r="I330" s="2" t="inlineStr"/>
      <c r="J330" t="inlineStr"/>
      <c r="K330" s="2" t="inlineStr"/>
      <c r="L330" t="inlineStr"/>
      <c r="M330" s="2" t="inlineStr"/>
      <c r="N330" s="2" t="inlineStr"/>
      <c r="O330" s="2">
        <f>IF(P330=J330,I330,IF(P330=L330,K330,M330))</f>
        <v/>
      </c>
      <c r="P330" s="3">
        <f>MIN(J330,L330,N330)</f>
        <v/>
      </c>
      <c r="Q330">
        <f>G330*P330</f>
        <v/>
      </c>
      <c r="R330">
        <f>IF(ISBLANK(H330),0,G330*H330)</f>
        <v/>
      </c>
      <c r="S330">
        <f>IF(R330=0,0,(R330-Q330)/R330)</f>
        <v/>
      </c>
    </row>
    <row r="331">
      <c r="A331" t="inlineStr">
        <is>
          <t>K0108</t>
        </is>
      </c>
      <c r="B331" t="inlineStr">
        <is>
          <t>M06A</t>
        </is>
      </c>
      <c r="C331" t="inlineStr">
        <is>
          <t>WHEELCHAIR COMPONENT OR ACCESSORY, NOT OTHERWISE SPECIFIED</t>
        </is>
      </c>
      <c r="D331" t="n">
        <v>2</v>
      </c>
      <c r="E331" s="2" t="n"/>
      <c r="F331" t="inlineStr"/>
      <c r="G331" s="2" t="inlineStr"/>
      <c r="H331" t="inlineStr"/>
      <c r="I331" s="2" t="inlineStr"/>
      <c r="J331" t="inlineStr"/>
      <c r="K331" s="2" t="inlineStr"/>
      <c r="L331" t="inlineStr"/>
      <c r="M331" s="2" t="inlineStr"/>
      <c r="N331" s="2" t="inlineStr"/>
      <c r="O331" s="2">
        <f>IF(P331=J331,I331,IF(P331=L331,K331,M331))</f>
        <v/>
      </c>
      <c r="P331" s="3">
        <f>MIN(J331,L331,N331)</f>
        <v/>
      </c>
      <c r="Q331">
        <f>G331*P331</f>
        <v/>
      </c>
      <c r="R331">
        <f>IF(ISBLANK(H331),0,G331*H331)</f>
        <v/>
      </c>
      <c r="S331">
        <f>IF(R331=0,0,(R331-Q331)/R331)</f>
        <v/>
      </c>
    </row>
    <row r="332">
      <c r="A332" t="inlineStr">
        <is>
          <t>E1017</t>
        </is>
      </c>
      <c r="B332" t="inlineStr">
        <is>
          <t>M06A</t>
        </is>
      </c>
      <c r="C332" t="inlineStr">
        <is>
          <t>HEAVY DUTY SHOCK ABSORBER FOR HEAVY DUTY OR EXTRA HEAVY DUTY MANUAL WHEELCHAIR, EACH</t>
        </is>
      </c>
      <c r="D332" t="n">
        <v>2</v>
      </c>
      <c r="E332" s="2" t="n"/>
      <c r="F332" t="inlineStr"/>
      <c r="G332" s="2" t="inlineStr"/>
      <c r="H332" t="inlineStr"/>
      <c r="I332" s="2" t="inlineStr"/>
      <c r="J332" t="inlineStr"/>
      <c r="K332" s="2" t="inlineStr"/>
      <c r="L332" t="inlineStr"/>
      <c r="M332" s="2" t="inlineStr"/>
      <c r="N332" s="2" t="inlineStr"/>
      <c r="O332" s="2">
        <f>IF(P332=J332,I332,IF(P332=L332,K332,M332))</f>
        <v/>
      </c>
      <c r="P332" s="3">
        <f>MIN(J332,L332,N332)</f>
        <v/>
      </c>
      <c r="Q332">
        <f>G332*P332</f>
        <v/>
      </c>
      <c r="R332">
        <f>IF(ISBLANK(H332),0,G332*H332)</f>
        <v/>
      </c>
      <c r="S332">
        <f>IF(R332=0,0,(R332-Q332)/R332)</f>
        <v/>
      </c>
    </row>
    <row r="333">
      <c r="A333" t="inlineStr">
        <is>
          <t>E0275</t>
        </is>
      </c>
      <c r="B333" t="inlineStr">
        <is>
          <t>DM02</t>
        </is>
      </c>
      <c r="C333" t="inlineStr">
        <is>
          <t>Bedpan - standard</t>
        </is>
      </c>
      <c r="D333" t="n">
        <v>10</v>
      </c>
      <c r="E333" s="2" t="n">
        <v>15</v>
      </c>
      <c r="F333" t="inlineStr"/>
      <c r="G333" s="2" t="inlineStr"/>
      <c r="H333" t="inlineStr"/>
      <c r="I333" s="2" t="inlineStr"/>
      <c r="J333" t="inlineStr"/>
      <c r="K333" s="2" t="inlineStr"/>
      <c r="L333" t="inlineStr"/>
      <c r="M333" s="2" t="inlineStr"/>
      <c r="N333" s="2" t="inlineStr"/>
      <c r="O333" s="2">
        <f>IF(P333=J333,I333,IF(P333=L333,K333,M333))</f>
        <v/>
      </c>
      <c r="P333" s="3">
        <f>MIN(J333,L333,N333)</f>
        <v/>
      </c>
      <c r="Q333">
        <f>G333*P333</f>
        <v/>
      </c>
      <c r="R333">
        <f>IF(ISBLANK(H333),0,G333*H333)</f>
        <v/>
      </c>
      <c r="S333">
        <f>IF(R333=0,0,(R333-Q333)/R333)</f>
        <v/>
      </c>
    </row>
    <row r="334">
      <c r="A334" t="inlineStr">
        <is>
          <t>E0168</t>
        </is>
      </c>
      <c r="B334" t="inlineStr">
        <is>
          <t>DM02</t>
        </is>
      </c>
      <c r="C334" t="inlineStr">
        <is>
          <t>Commode chair - bariatric</t>
        </is>
      </c>
      <c r="D334" t="n">
        <v>2</v>
      </c>
      <c r="E334" s="2" t="n">
        <v>128.66</v>
      </c>
      <c r="F334" t="inlineStr"/>
      <c r="G334" s="2" t="inlineStr"/>
      <c r="H334" t="inlineStr"/>
      <c r="I334" s="2" t="inlineStr"/>
      <c r="J334" t="inlineStr"/>
      <c r="K334" s="2" t="inlineStr"/>
      <c r="L334" t="inlineStr"/>
      <c r="M334" s="2" t="inlineStr"/>
      <c r="N334" s="2" t="inlineStr"/>
      <c r="O334" s="2">
        <f>IF(P334=J334,I334,IF(P334=L334,K334,M334))</f>
        <v/>
      </c>
      <c r="P334" s="3">
        <f>MIN(J334,L334,N334)</f>
        <v/>
      </c>
      <c r="Q334">
        <f>G334*P334</f>
        <v/>
      </c>
      <c r="R334">
        <f>IF(ISBLANK(H334),0,G334*H334)</f>
        <v/>
      </c>
      <c r="S334">
        <f>IF(R334=0,0,(R334-Q334)/R334)</f>
        <v/>
      </c>
    </row>
    <row r="335">
      <c r="A335" t="inlineStr">
        <is>
          <t>E0165</t>
        </is>
      </c>
      <c r="B335" t="inlineStr">
        <is>
          <t>DM02</t>
        </is>
      </c>
      <c r="C335" t="inlineStr">
        <is>
          <t>Commode chair - detachable arms</t>
        </is>
      </c>
      <c r="D335" t="n">
        <v>4</v>
      </c>
      <c r="E335" s="2" t="n"/>
      <c r="F335" t="inlineStr"/>
      <c r="G335" s="2" t="inlineStr"/>
      <c r="H335" t="inlineStr"/>
      <c r="I335" s="2" t="inlineStr"/>
      <c r="J335" t="inlineStr"/>
      <c r="K335" s="2" t="inlineStr"/>
      <c r="L335" t="inlineStr"/>
      <c r="M335" s="2" t="inlineStr"/>
      <c r="N335" s="2" t="inlineStr"/>
      <c r="O335" s="2">
        <f>IF(P335=J335,I335,IF(P335=L335,K335,M335))</f>
        <v/>
      </c>
      <c r="P335" s="3">
        <f>MIN(J335,L335,N335)</f>
        <v/>
      </c>
      <c r="Q335">
        <f>G335*P335</f>
        <v/>
      </c>
      <c r="R335">
        <f>IF(ISBLANK(H335),0,G335*H335)</f>
        <v/>
      </c>
      <c r="S335">
        <f>IF(R335=0,0,(R335-Q335)/R335)</f>
        <v/>
      </c>
    </row>
    <row r="336">
      <c r="A336" t="inlineStr">
        <is>
          <t>E0163</t>
        </is>
      </c>
      <c r="B336" t="inlineStr">
        <is>
          <t>DM02</t>
        </is>
      </c>
      <c r="C336" t="inlineStr">
        <is>
          <t>Commode chair - fixed arms</t>
        </is>
      </c>
      <c r="D336" t="n">
        <v>4</v>
      </c>
      <c r="E336" s="2" t="n">
        <v>61.43</v>
      </c>
      <c r="F336" t="inlineStr"/>
      <c r="G336" s="2" t="inlineStr"/>
      <c r="H336" t="inlineStr"/>
      <c r="I336" s="2" t="inlineStr"/>
      <c r="J336" t="inlineStr"/>
      <c r="K336" s="2" t="inlineStr"/>
      <c r="L336" t="inlineStr"/>
      <c r="M336" s="2" t="inlineStr"/>
      <c r="N336" s="2" t="inlineStr"/>
      <c r="O336" s="2">
        <f>IF(P336=J336,I336,IF(P336=L336,K336,M336))</f>
        <v/>
      </c>
      <c r="P336" s="3">
        <f>MIN(J336,L336,N336)</f>
        <v/>
      </c>
      <c r="Q336">
        <f>G336*P336</f>
        <v/>
      </c>
      <c r="R336">
        <f>IF(ISBLANK(H336),0,G336*H336)</f>
        <v/>
      </c>
      <c r="S336">
        <f>IF(R336=0,0,(R336-Q336)/R336)</f>
        <v/>
      </c>
    </row>
    <row r="337">
      <c r="A337" t="inlineStr">
        <is>
          <t>A6590</t>
        </is>
      </c>
      <c r="B337" t="inlineStr">
        <is>
          <t>DM29</t>
        </is>
      </c>
      <c r="C337" t="inlineStr">
        <is>
          <t>Suction canister</t>
        </is>
      </c>
      <c r="D337" t="n">
        <v>10</v>
      </c>
      <c r="E337" s="2" t="n">
        <v>437.4</v>
      </c>
      <c r="F337" t="inlineStr"/>
      <c r="G337" s="2" t="inlineStr"/>
      <c r="H337" t="inlineStr"/>
      <c r="I337" s="2" t="inlineStr"/>
      <c r="J337" t="inlineStr"/>
      <c r="K337" s="2" t="inlineStr"/>
      <c r="L337" t="inlineStr"/>
      <c r="M337" s="2" t="inlineStr"/>
      <c r="N337" s="2" t="inlineStr"/>
      <c r="O337" s="2">
        <f>IF(P337=J337,I337,IF(P337=L337,K337,M337))</f>
        <v/>
      </c>
      <c r="P337" s="3">
        <f>MIN(J337,L337,N337)</f>
        <v/>
      </c>
      <c r="Q337">
        <f>G337*P337</f>
        <v/>
      </c>
      <c r="R337">
        <f>IF(ISBLANK(H337),0,G337*H337)</f>
        <v/>
      </c>
      <c r="S337">
        <f>IF(R337=0,0,(R337-Q337)/R337)</f>
        <v/>
      </c>
    </row>
    <row r="338">
      <c r="A338" t="inlineStr">
        <is>
          <t>A7001</t>
        </is>
      </c>
      <c r="B338" t="inlineStr">
        <is>
          <t>DM29</t>
        </is>
      </c>
      <c r="C338" t="inlineStr">
        <is>
          <t>Suction tubing set</t>
        </is>
      </c>
      <c r="D338" t="n">
        <v>20</v>
      </c>
      <c r="E338" s="2" t="n">
        <v>41.69</v>
      </c>
      <c r="F338" t="inlineStr"/>
      <c r="G338" s="2" t="inlineStr"/>
      <c r="H338" t="inlineStr"/>
      <c r="I338" s="2" t="inlineStr"/>
      <c r="J338" t="inlineStr"/>
      <c r="K338" s="2" t="inlineStr"/>
      <c r="L338" t="inlineStr"/>
      <c r="M338" s="2" t="inlineStr"/>
      <c r="N338" s="2" t="inlineStr"/>
      <c r="O338" s="2">
        <f>IF(P338=J338,I338,IF(P338=L338,K338,M338))</f>
        <v/>
      </c>
      <c r="P338" s="3">
        <f>MIN(J338,L338,N338)</f>
        <v/>
      </c>
      <c r="Q338">
        <f>G338*P338</f>
        <v/>
      </c>
      <c r="R338">
        <f>IF(ISBLANK(H338),0,G338*H338)</f>
        <v/>
      </c>
      <c r="S338">
        <f>IF(R338=0,0,(R338-Q338)/R338)</f>
        <v/>
      </c>
    </row>
    <row r="339">
      <c r="A339" t="inlineStr">
        <is>
          <t>A4224</t>
        </is>
      </c>
      <c r="B339" t="inlineStr">
        <is>
          <t>DM25</t>
        </is>
      </c>
      <c r="C339" t="inlineStr">
        <is>
          <t>Insulin infusion set</t>
        </is>
      </c>
      <c r="D339" t="n">
        <v>25</v>
      </c>
      <c r="E339" s="2" t="n">
        <v>25.19</v>
      </c>
      <c r="F339" t="inlineStr"/>
      <c r="G339" s="2" t="inlineStr"/>
      <c r="H339" t="inlineStr"/>
      <c r="I339" s="2" t="inlineStr"/>
      <c r="J339" t="inlineStr"/>
      <c r="K339" s="2" t="inlineStr"/>
      <c r="L339" t="inlineStr"/>
      <c r="M339" s="2" t="inlineStr"/>
      <c r="N339" s="2" t="inlineStr"/>
      <c r="O339" s="2">
        <f>IF(P339=J339,I339,IF(P339=L339,K339,M339))</f>
        <v/>
      </c>
      <c r="P339" s="3">
        <f>MIN(J339,L339,N339)</f>
        <v/>
      </c>
      <c r="Q339">
        <f>G339*P339</f>
        <v/>
      </c>
      <c r="R339">
        <f>IF(ISBLANK(H339),0,G339*H339)</f>
        <v/>
      </c>
      <c r="S339">
        <f>IF(R339=0,0,(R339-Q339)/R339)</f>
        <v/>
      </c>
    </row>
    <row r="340">
      <c r="A340" t="inlineStr">
        <is>
          <t>A4225</t>
        </is>
      </c>
      <c r="B340" t="inlineStr">
        <is>
          <t>DM25</t>
        </is>
      </c>
      <c r="C340" t="inlineStr">
        <is>
          <t>Insulin reservoir</t>
        </is>
      </c>
      <c r="D340" t="n">
        <v>20</v>
      </c>
      <c r="E340" s="2" t="n">
        <v>3.38</v>
      </c>
      <c r="F340" t="inlineStr"/>
      <c r="G340" s="2" t="inlineStr"/>
      <c r="H340" t="inlineStr"/>
      <c r="I340" s="2" t="inlineStr"/>
      <c r="J340" t="inlineStr"/>
      <c r="K340" s="2" t="inlineStr"/>
      <c r="L340" t="inlineStr"/>
      <c r="M340" s="2" t="inlineStr"/>
      <c r="N340" s="2" t="inlineStr"/>
      <c r="O340" s="2">
        <f>IF(P340=J340,I340,IF(P340=L340,K340,M340))</f>
        <v/>
      </c>
      <c r="P340" s="3">
        <f>MIN(J340,L340,N340)</f>
        <v/>
      </c>
      <c r="Q340">
        <f>G340*P340</f>
        <v/>
      </c>
      <c r="R340">
        <f>IF(ISBLANK(H340),0,G340*H340)</f>
        <v/>
      </c>
      <c r="S340">
        <f>IF(R340=0,0,(R340-Q340)/R340)</f>
        <v/>
      </c>
    </row>
    <row r="341">
      <c r="A341" t="inlineStr">
        <is>
          <t>E0276</t>
        </is>
      </c>
      <c r="B341" t="inlineStr">
        <is>
          <t>DM02</t>
        </is>
      </c>
      <c r="C341" t="inlineStr">
        <is>
          <t>Bedpan - fracture</t>
        </is>
      </c>
      <c r="D341" t="n">
        <v>10</v>
      </c>
      <c r="E341" s="2" t="n">
        <v>13.91</v>
      </c>
      <c r="F341" t="inlineStr"/>
      <c r="G341" s="2" t="inlineStr"/>
      <c r="H341" t="inlineStr"/>
      <c r="I341" s="2" t="inlineStr"/>
      <c r="J341" t="inlineStr"/>
      <c r="K341" s="2" t="inlineStr"/>
      <c r="L341" t="inlineStr"/>
      <c r="M341" s="2" t="inlineStr"/>
      <c r="N341" s="2" t="inlineStr"/>
      <c r="O341" s="2">
        <f>IF(P341=J341,I341,IF(P341=L341,K341,M341))</f>
        <v/>
      </c>
      <c r="P341" s="3">
        <f>MIN(J341,L341,N341)</f>
        <v/>
      </c>
      <c r="Q341">
        <f>G341*P341</f>
        <v/>
      </c>
      <c r="R341">
        <f>IF(ISBLANK(H341),0,G341*H341)</f>
        <v/>
      </c>
      <c r="S341">
        <f>IF(R341=0,0,(R341-Q341)/R341)</f>
        <v/>
      </c>
    </row>
    <row r="342">
      <c r="A342" t="inlineStr">
        <is>
          <t>E0160</t>
        </is>
      </c>
      <c r="B342" t="inlineStr">
        <is>
          <t>DM02</t>
        </is>
      </c>
      <c r="C342" t="inlineStr">
        <is>
          <t>Sitz bath - portable</t>
        </is>
      </c>
      <c r="D342" t="n">
        <v>2</v>
      </c>
      <c r="E342" s="2" t="n">
        <v>34.4</v>
      </c>
      <c r="F342" t="inlineStr"/>
      <c r="G342" s="2" t="inlineStr"/>
      <c r="H342" t="inlineStr"/>
      <c r="I342" s="2" t="inlineStr"/>
      <c r="J342" t="inlineStr"/>
      <c r="K342" s="2" t="inlineStr"/>
      <c r="L342" t="inlineStr"/>
      <c r="M342" s="2" t="inlineStr"/>
      <c r="N342" s="2" t="inlineStr"/>
      <c r="O342" s="2">
        <f>IF(P342=J342,I342,IF(P342=L342,K342,M342))</f>
        <v/>
      </c>
      <c r="P342" s="3">
        <f>MIN(J342,L342,N342)</f>
        <v/>
      </c>
      <c r="Q342">
        <f>G342*P342</f>
        <v/>
      </c>
      <c r="R342">
        <f>IF(ISBLANK(H342),0,G342*H342)</f>
        <v/>
      </c>
      <c r="S342">
        <f>IF(R342=0,0,(R342-Q342)/R342)</f>
        <v/>
      </c>
    </row>
    <row r="343">
      <c r="A343" t="inlineStr">
        <is>
          <t>E0161</t>
        </is>
      </c>
      <c r="B343" t="inlineStr">
        <is>
          <t>DM02</t>
        </is>
      </c>
      <c r="C343" t="inlineStr">
        <is>
          <t>Sitz bath - with faucet</t>
        </is>
      </c>
      <c r="D343" t="n">
        <v>1</v>
      </c>
      <c r="E343" s="2" t="n">
        <v>28.73</v>
      </c>
      <c r="F343" t="inlineStr"/>
      <c r="G343" s="2" t="inlineStr"/>
      <c r="H343" t="inlineStr"/>
      <c r="I343" s="2" t="inlineStr"/>
      <c r="J343" t="inlineStr"/>
      <c r="K343" s="2" t="inlineStr"/>
      <c r="L343" t="inlineStr"/>
      <c r="M343" s="2" t="inlineStr"/>
      <c r="N343" s="2" t="inlineStr"/>
      <c r="O343" s="2">
        <f>IF(P343=J343,I343,IF(P343=L343,K343,M343))</f>
        <v/>
      </c>
      <c r="P343" s="3">
        <f>MIN(J343,L343,N343)</f>
        <v/>
      </c>
      <c r="Q343">
        <f>G343*P343</f>
        <v/>
      </c>
      <c r="R343">
        <f>IF(ISBLANK(H343),0,G343*H343)</f>
        <v/>
      </c>
      <c r="S343">
        <f>IF(R343=0,0,(R343-Q343)/R343)</f>
        <v/>
      </c>
    </row>
    <row r="344">
      <c r="A344" t="inlineStr">
        <is>
          <t>E2001</t>
        </is>
      </c>
      <c r="B344" t="inlineStr">
        <is>
          <t>DM29</t>
        </is>
      </c>
      <c r="C344" t="inlineStr">
        <is>
          <t>Suction pump - portable</t>
        </is>
      </c>
      <c r="D344" t="n">
        <v>3</v>
      </c>
      <c r="E344" s="2" t="n"/>
      <c r="F344" t="inlineStr"/>
      <c r="G344" s="2" t="inlineStr"/>
      <c r="H344" t="inlineStr"/>
      <c r="I344" s="2" t="inlineStr"/>
      <c r="J344" t="inlineStr"/>
      <c r="K344" s="2" t="inlineStr"/>
      <c r="L344" t="inlineStr"/>
      <c r="M344" s="2" t="inlineStr"/>
      <c r="N344" s="2" t="inlineStr"/>
      <c r="O344" s="2">
        <f>IF(P344=J344,I344,IF(P344=L344,K344,M344))</f>
        <v/>
      </c>
      <c r="P344" s="3">
        <f>MIN(J344,L344,N344)</f>
        <v/>
      </c>
      <c r="Q344">
        <f>G344*P344</f>
        <v/>
      </c>
      <c r="R344">
        <f>IF(ISBLANK(H344),0,G344*H344)</f>
        <v/>
      </c>
      <c r="S344">
        <f>IF(R344=0,0,(R344-Q344)/R344)</f>
        <v/>
      </c>
    </row>
    <row r="345">
      <c r="A345" t="inlineStr">
        <is>
          <t>K0552</t>
        </is>
      </c>
      <c r="B345" t="inlineStr">
        <is>
          <t>DM25</t>
        </is>
      </c>
      <c r="C345" t="inlineStr">
        <is>
          <t>Insulin pump supplies</t>
        </is>
      </c>
      <c r="D345" t="n">
        <v>15</v>
      </c>
      <c r="E345" s="2" t="n">
        <v>3.38</v>
      </c>
      <c r="F345" t="inlineStr"/>
      <c r="G345" s="2" t="inlineStr"/>
      <c r="H345" t="inlineStr"/>
      <c r="I345" s="2" t="inlineStr"/>
      <c r="J345" t="inlineStr"/>
      <c r="K345" s="2" t="inlineStr"/>
      <c r="L345" t="inlineStr"/>
      <c r="M345" s="2" t="inlineStr"/>
      <c r="N345" s="2" t="inlineStr"/>
      <c r="O345" s="2">
        <f>IF(P345=J345,I345,IF(P345=L345,K345,M345))</f>
        <v/>
      </c>
      <c r="P345" s="3">
        <f>MIN(J345,L345,N345)</f>
        <v/>
      </c>
      <c r="Q345">
        <f>G345*P345</f>
        <v/>
      </c>
      <c r="R345">
        <f>IF(ISBLANK(H345),0,G345*H345)</f>
        <v/>
      </c>
      <c r="S345">
        <f>IF(R345=0,0,(R345-Q345)/R345)</f>
        <v/>
      </c>
    </row>
    <row r="346">
      <c r="A346" t="inlineStr">
        <is>
          <t>E0572</t>
        </is>
      </c>
      <c r="B346" t="inlineStr">
        <is>
          <t>R07</t>
        </is>
      </c>
      <c r="C346" t="inlineStr">
        <is>
          <t>Nebulizer - aerosol compressor</t>
        </is>
      </c>
      <c r="D346" t="n">
        <v>3</v>
      </c>
      <c r="E346" s="2" t="n"/>
      <c r="F346" t="inlineStr"/>
      <c r="G346" s="2" t="inlineStr"/>
      <c r="H346" t="inlineStr"/>
      <c r="I346" s="2" t="inlineStr"/>
      <c r="J346" t="inlineStr"/>
      <c r="K346" s="2" t="inlineStr"/>
      <c r="L346" t="inlineStr"/>
      <c r="M346" s="2" t="inlineStr"/>
      <c r="N346" s="2" t="inlineStr"/>
      <c r="O346" s="2">
        <f>IF(P346=J346,I346,IF(P346=L346,K346,M346))</f>
        <v/>
      </c>
      <c r="P346" s="3">
        <f>MIN(J346,L346,N346)</f>
        <v/>
      </c>
      <c r="Q346">
        <f>G346*P346</f>
        <v/>
      </c>
      <c r="R346">
        <f>IF(ISBLANK(H346),0,G346*H346)</f>
        <v/>
      </c>
      <c r="S346">
        <f>IF(R346=0,0,(R346-Q346)/R346)</f>
        <v/>
      </c>
    </row>
    <row r="347">
      <c r="A347" t="inlineStr">
        <is>
          <t>A7015</t>
        </is>
      </c>
      <c r="B347" t="inlineStr">
        <is>
          <t>R07</t>
        </is>
      </c>
      <c r="C347" t="inlineStr">
        <is>
          <t>Nebulizer mask - adult</t>
        </is>
      </c>
      <c r="D347" t="n">
        <v>30</v>
      </c>
      <c r="E347" s="2" t="n">
        <v>1.47</v>
      </c>
      <c r="F347" t="inlineStr"/>
      <c r="G347" s="2" t="inlineStr"/>
      <c r="H347" t="inlineStr"/>
      <c r="I347" s="2" t="inlineStr"/>
      <c r="J347" t="inlineStr"/>
      <c r="K347" s="2" t="inlineStr"/>
      <c r="L347" t="inlineStr"/>
      <c r="M347" s="2" t="inlineStr"/>
      <c r="N347" s="2" t="inlineStr"/>
      <c r="O347" s="2">
        <f>IF(P347=J347,I347,IF(P347=L347,K347,M347))</f>
        <v/>
      </c>
      <c r="P347" s="3">
        <f>MIN(J347,L347,N347)</f>
        <v/>
      </c>
      <c r="Q347">
        <f>G347*P347</f>
        <v/>
      </c>
      <c r="R347">
        <f>IF(ISBLANK(H347),0,G347*H347)</f>
        <v/>
      </c>
      <c r="S347">
        <f>IF(R347=0,0,(R347-Q347)/R347)</f>
        <v/>
      </c>
    </row>
    <row r="348">
      <c r="A348" t="inlineStr">
        <is>
          <t>A7016</t>
        </is>
      </c>
      <c r="B348" t="inlineStr">
        <is>
          <t>R07</t>
        </is>
      </c>
      <c r="C348" t="inlineStr">
        <is>
          <t>Nebulizer mask - pediatric</t>
        </is>
      </c>
      <c r="D348" t="n">
        <v>15</v>
      </c>
      <c r="E348" s="2" t="n">
        <v>9.130000000000001</v>
      </c>
      <c r="F348" t="inlineStr"/>
      <c r="G348" s="2" t="inlineStr"/>
      <c r="H348" t="inlineStr"/>
      <c r="I348" s="2" t="inlineStr"/>
      <c r="J348" t="inlineStr"/>
      <c r="K348" s="2" t="inlineStr"/>
      <c r="L348" t="inlineStr"/>
      <c r="M348" s="2" t="inlineStr"/>
      <c r="N348" s="2" t="inlineStr"/>
      <c r="O348" s="2">
        <f>IF(P348=J348,I348,IF(P348=L348,K348,M348))</f>
        <v/>
      </c>
      <c r="P348" s="3">
        <f>MIN(J348,L348,N348)</f>
        <v/>
      </c>
      <c r="Q348">
        <f>G348*P348</f>
        <v/>
      </c>
      <c r="R348">
        <f>IF(ISBLANK(H348),0,G348*H348)</f>
        <v/>
      </c>
      <c r="S348">
        <f>IF(R348=0,0,(R348-Q348)/R348)</f>
        <v/>
      </c>
    </row>
    <row r="349">
      <c r="A349" t="inlineStr">
        <is>
          <t>L0120</t>
        </is>
      </c>
      <c r="B349" t="inlineStr">
        <is>
          <t>OR03</t>
        </is>
      </c>
      <c r="C349" t="inlineStr">
        <is>
          <t>Cervical collar - soft foam</t>
        </is>
      </c>
      <c r="D349" t="n">
        <v>2</v>
      </c>
      <c r="E349" s="2" t="n">
        <v>29.9</v>
      </c>
      <c r="F349" t="inlineStr"/>
      <c r="G349" s="2" t="inlineStr"/>
      <c r="H349" t="inlineStr"/>
      <c r="I349" s="2" t="inlineStr"/>
      <c r="J349" t="inlineStr"/>
      <c r="K349" s="2" t="inlineStr"/>
      <c r="L349" t="inlineStr"/>
      <c r="M349" s="2" t="inlineStr"/>
      <c r="N349" s="2" t="inlineStr"/>
      <c r="O349" s="2">
        <f>IF(P349=J349,I349,IF(P349=L349,K349,M349))</f>
        <v/>
      </c>
      <c r="P349" s="3">
        <f>MIN(J349,L349,N349)</f>
        <v/>
      </c>
      <c r="Q349">
        <f>G349*P349</f>
        <v/>
      </c>
      <c r="R349">
        <f>IF(ISBLANK(H349),0,G349*H349)</f>
        <v/>
      </c>
      <c r="S349">
        <f>IF(R349=0,0,(R349-Q349)/R349)</f>
        <v/>
      </c>
    </row>
    <row r="350">
      <c r="A350" t="inlineStr">
        <is>
          <t>L3702</t>
        </is>
      </c>
      <c r="B350" t="inlineStr">
        <is>
          <t>OR03</t>
        </is>
      </c>
      <c r="C350" t="inlineStr">
        <is>
          <t>Elbow orthosis - without joints</t>
        </is>
      </c>
      <c r="D350" t="n">
        <v>3</v>
      </c>
      <c r="E350" s="2" t="n"/>
      <c r="F350" t="inlineStr"/>
      <c r="G350" s="2" t="inlineStr"/>
      <c r="H350" t="inlineStr"/>
      <c r="I350" s="2" t="inlineStr"/>
      <c r="J350" t="inlineStr"/>
      <c r="K350" s="2" t="inlineStr"/>
      <c r="L350" t="inlineStr"/>
      <c r="M350" s="2" t="inlineStr"/>
      <c r="N350" s="2" t="inlineStr"/>
      <c r="O350" s="2">
        <f>IF(P350=J350,I350,IF(P350=L350,K350,M350))</f>
        <v/>
      </c>
      <c r="P350" s="3">
        <f>MIN(J350,L350,N350)</f>
        <v/>
      </c>
      <c r="Q350">
        <f>G350*P350</f>
        <v/>
      </c>
      <c r="R350">
        <f>IF(ISBLANK(H350),0,G350*H350)</f>
        <v/>
      </c>
      <c r="S350">
        <f>IF(R350=0,0,(R350-Q350)/R350)</f>
        <v/>
      </c>
    </row>
    <row r="351">
      <c r="A351" t="inlineStr">
        <is>
          <t>L3916</t>
        </is>
      </c>
      <c r="B351" t="inlineStr">
        <is>
          <t>OR03</t>
        </is>
      </c>
      <c r="C351" t="inlineStr">
        <is>
          <t>Wrist-hand orthosis - includes fingers</t>
        </is>
      </c>
      <c r="D351" t="n">
        <v>4</v>
      </c>
      <c r="E351" s="2" t="n">
        <v>568.9</v>
      </c>
      <c r="F351" t="inlineStr"/>
      <c r="G351" s="2" t="inlineStr"/>
      <c r="H351" t="inlineStr"/>
      <c r="I351" s="2" t="inlineStr"/>
      <c r="J351" t="inlineStr"/>
      <c r="K351" s="2" t="inlineStr"/>
      <c r="L351" t="inlineStr"/>
      <c r="M351" s="2" t="inlineStr"/>
      <c r="N351" s="2" t="inlineStr"/>
      <c r="O351" s="2">
        <f>IF(P351=J351,I351,IF(P351=L351,K351,M351))</f>
        <v/>
      </c>
      <c r="P351" s="3">
        <f>MIN(J351,L351,N351)</f>
        <v/>
      </c>
      <c r="Q351">
        <f>G351*P351</f>
        <v/>
      </c>
      <c r="R351">
        <f>IF(ISBLANK(H351),0,G351*H351)</f>
        <v/>
      </c>
      <c r="S351">
        <f>IF(R351=0,0,(R351-Q351)/R351)</f>
        <v/>
      </c>
    </row>
    <row r="352">
      <c r="A352" t="inlineStr">
        <is>
          <t>A7003</t>
        </is>
      </c>
      <c r="B352" t="inlineStr">
        <is>
          <t>R07</t>
        </is>
      </c>
      <c r="C352" t="inlineStr">
        <is>
          <t>Nebulizer tubing - disposable</t>
        </is>
      </c>
      <c r="D352" t="n">
        <v>40</v>
      </c>
      <c r="E352" s="2" t="n">
        <v>1.89</v>
      </c>
      <c r="F352" t="inlineStr"/>
      <c r="G352" s="2" t="inlineStr"/>
      <c r="H352" t="inlineStr"/>
      <c r="I352" s="2" t="inlineStr"/>
      <c r="J352" t="inlineStr"/>
      <c r="K352" s="2" t="inlineStr"/>
      <c r="L352" t="inlineStr"/>
      <c r="M352" s="2" t="inlineStr"/>
      <c r="N352" s="2" t="inlineStr"/>
      <c r="O352" s="2">
        <f>IF(P352=J352,I352,IF(P352=L352,K352,M352))</f>
        <v/>
      </c>
      <c r="P352" s="3">
        <f>MIN(J352,L352,N352)</f>
        <v/>
      </c>
      <c r="Q352">
        <f>G352*P352</f>
        <v/>
      </c>
      <c r="R352">
        <f>IF(ISBLANK(H352),0,G352*H352)</f>
        <v/>
      </c>
      <c r="S352">
        <f>IF(R352=0,0,(R352-Q352)/R352)</f>
        <v/>
      </c>
    </row>
    <row r="353">
      <c r="A353" t="inlineStr">
        <is>
          <t>E0890</t>
        </is>
      </c>
      <c r="B353" t="inlineStr">
        <is>
          <t>DM21</t>
        </is>
      </c>
      <c r="C353" t="inlineStr">
        <is>
          <t>Pelvic traction setup</t>
        </is>
      </c>
      <c r="D353" t="n">
        <v>1</v>
      </c>
      <c r="E353" s="2" t="n">
        <v>168.22</v>
      </c>
      <c r="F353" t="inlineStr"/>
      <c r="G353" s="2" t="inlineStr"/>
      <c r="H353" t="inlineStr"/>
      <c r="I353" s="2" t="inlineStr"/>
      <c r="J353" t="inlineStr"/>
      <c r="K353" s="2" t="inlineStr"/>
      <c r="L353" t="inlineStr"/>
      <c r="M353" s="2" t="inlineStr"/>
      <c r="N353" s="2" t="inlineStr"/>
      <c r="O353" s="2">
        <f>IF(P353=J353,I353,IF(P353=L353,K353,M353))</f>
        <v/>
      </c>
      <c r="P353" s="3">
        <f>MIN(J353,L353,N353)</f>
        <v/>
      </c>
      <c r="Q353">
        <f>G353*P353</f>
        <v/>
      </c>
      <c r="R353">
        <f>IF(ISBLANK(H353),0,G353*H353)</f>
        <v/>
      </c>
      <c r="S353">
        <f>IF(R353=0,0,(R353-Q353)/R353)</f>
        <v/>
      </c>
    </row>
    <row r="354">
      <c r="A354" t="inlineStr">
        <is>
          <t>B4160</t>
        </is>
      </c>
      <c r="B354" t="inlineStr">
        <is>
          <t>PE03</t>
        </is>
      </c>
      <c r="C354" t="inlineStr">
        <is>
          <t>Enteral formula - pediatric</t>
        </is>
      </c>
      <c r="D354" t="n">
        <v>10</v>
      </c>
      <c r="E354" s="2" t="n"/>
      <c r="F354" t="inlineStr"/>
      <c r="G354" s="2" t="inlineStr"/>
      <c r="H354" t="inlineStr"/>
      <c r="I354" s="2" t="inlineStr"/>
      <c r="J354" t="inlineStr"/>
      <c r="K354" s="2" t="inlineStr"/>
      <c r="L354" t="inlineStr"/>
      <c r="M354" s="2" t="inlineStr"/>
      <c r="N354" s="2" t="inlineStr"/>
      <c r="O354" s="2">
        <f>IF(P354=J354,I354,IF(P354=L354,K354,M354))</f>
        <v/>
      </c>
      <c r="P354" s="3">
        <f>MIN(J354,L354,N354)</f>
        <v/>
      </c>
      <c r="Q354">
        <f>G354*P354</f>
        <v/>
      </c>
      <c r="R354">
        <f>IF(ISBLANK(H354),0,G354*H354)</f>
        <v/>
      </c>
      <c r="S354">
        <f>IF(R354=0,0,(R354-Q354)/R354)</f>
        <v/>
      </c>
    </row>
    <row r="355">
      <c r="A355" t="inlineStr">
        <is>
          <t>B4161</t>
        </is>
      </c>
      <c r="B355" t="inlineStr">
        <is>
          <t>PE03</t>
        </is>
      </c>
      <c r="C355" t="inlineStr">
        <is>
          <t>Enteral formula - specialized infant</t>
        </is>
      </c>
      <c r="D355" t="n">
        <v>5</v>
      </c>
      <c r="E355" s="2" t="n"/>
      <c r="F355" t="inlineStr"/>
      <c r="G355" s="2" t="inlineStr"/>
      <c r="H355" t="inlineStr"/>
      <c r="I355" s="2" t="inlineStr"/>
      <c r="J355" t="inlineStr"/>
      <c r="K355" s="2" t="inlineStr"/>
      <c r="L355" t="inlineStr"/>
      <c r="M355" s="2" t="inlineStr"/>
      <c r="N355" s="2" t="inlineStr"/>
      <c r="O355" s="2">
        <f>IF(P355=J355,I355,IF(P355=L355,K355,M355))</f>
        <v/>
      </c>
      <c r="P355" s="3">
        <f>MIN(J355,L355,N355)</f>
        <v/>
      </c>
      <c r="Q355">
        <f>G355*P355</f>
        <v/>
      </c>
      <c r="R355">
        <f>IF(ISBLANK(H355),0,G355*H355)</f>
        <v/>
      </c>
      <c r="S355">
        <f>IF(R355=0,0,(R355-Q355)/R355)</f>
        <v/>
      </c>
    </row>
    <row r="356">
      <c r="A356" t="inlineStr">
        <is>
          <t>E0776</t>
        </is>
      </c>
      <c r="B356" t="inlineStr">
        <is>
          <t>PE04</t>
        </is>
      </c>
      <c r="C356" t="inlineStr">
        <is>
          <t>Enteral feeding pump</t>
        </is>
      </c>
      <c r="D356" t="n">
        <v>2</v>
      </c>
      <c r="E356" s="2" t="n">
        <v>64.95999999999999</v>
      </c>
      <c r="F356" t="inlineStr"/>
      <c r="G356" s="2" t="inlineStr"/>
      <c r="H356" t="inlineStr"/>
      <c r="I356" s="2" t="inlineStr"/>
      <c r="J356" t="inlineStr"/>
      <c r="K356" s="2" t="inlineStr"/>
      <c r="L356" t="inlineStr"/>
      <c r="M356" s="2" t="inlineStr"/>
      <c r="N356" s="2" t="inlineStr"/>
      <c r="O356" s="2">
        <f>IF(P356=J356,I356,IF(P356=L356,K356,M356))</f>
        <v/>
      </c>
      <c r="P356" s="3">
        <f>MIN(J356,L356,N356)</f>
        <v/>
      </c>
      <c r="Q356">
        <f>G356*P356</f>
        <v/>
      </c>
      <c r="R356">
        <f>IF(ISBLANK(H356),0,G356*H356)</f>
        <v/>
      </c>
      <c r="S356">
        <f>IF(R356=0,0,(R356-Q356)/R356)</f>
        <v/>
      </c>
    </row>
    <row r="357">
      <c r="A357" t="inlineStr">
        <is>
          <t>L0172</t>
        </is>
      </c>
      <c r="B357" t="inlineStr">
        <is>
          <t>OR03</t>
        </is>
      </c>
      <c r="C357" t="inlineStr">
        <is>
          <t>Cervical collar - semi-rigid</t>
        </is>
      </c>
      <c r="D357" t="n">
        <v>2</v>
      </c>
      <c r="E357" s="2" t="n">
        <v>164.87</v>
      </c>
      <c r="F357" t="inlineStr"/>
      <c r="G357" s="2" t="inlineStr"/>
      <c r="H357" t="inlineStr"/>
      <c r="I357" s="2" t="inlineStr"/>
      <c r="J357" t="inlineStr"/>
      <c r="K357" s="2" t="inlineStr"/>
      <c r="L357" t="inlineStr"/>
      <c r="M357" s="2" t="inlineStr"/>
      <c r="N357" s="2" t="inlineStr"/>
      <c r="O357" s="2">
        <f>IF(P357=J357,I357,IF(P357=L357,K357,M357))</f>
        <v/>
      </c>
      <c r="P357" s="3">
        <f>MIN(J357,L357,N357)</f>
        <v/>
      </c>
      <c r="Q357">
        <f>G357*P357</f>
        <v/>
      </c>
      <c r="R357">
        <f>IF(ISBLANK(H357),0,G357*H357)</f>
        <v/>
      </c>
      <c r="S357">
        <f>IF(R357=0,0,(R357-Q357)/R357)</f>
        <v/>
      </c>
    </row>
    <row r="358">
      <c r="A358" t="inlineStr">
        <is>
          <t>E0781</t>
        </is>
      </c>
      <c r="B358" t="inlineStr">
        <is>
          <t>DM12</t>
        </is>
      </c>
      <c r="C358" t="inlineStr">
        <is>
          <t>Ambulatory infusion pump</t>
        </is>
      </c>
      <c r="D358" t="n">
        <v>2</v>
      </c>
      <c r="E358" s="2" t="n"/>
      <c r="F358" t="inlineStr"/>
      <c r="G358" s="2" t="inlineStr"/>
      <c r="H358" t="inlineStr"/>
      <c r="I358" s="2" t="inlineStr"/>
      <c r="J358" t="inlineStr"/>
      <c r="K358" s="2" t="inlineStr"/>
      <c r="L358" t="inlineStr"/>
      <c r="M358" s="2" t="inlineStr"/>
      <c r="N358" s="2" t="inlineStr"/>
      <c r="O358" s="2">
        <f>IF(P358=J358,I358,IF(P358=L358,K358,M358))</f>
        <v/>
      </c>
      <c r="P358" s="3">
        <f>MIN(J358,L358,N358)</f>
        <v/>
      </c>
      <c r="Q358">
        <f>G358*P358</f>
        <v/>
      </c>
      <c r="R358">
        <f>IF(ISBLANK(H358),0,G358*H358)</f>
        <v/>
      </c>
      <c r="S358">
        <f>IF(R358=0,0,(R358-Q358)/R358)</f>
        <v/>
      </c>
    </row>
    <row r="359">
      <c r="A359" t="inlineStr">
        <is>
          <t>E0779</t>
        </is>
      </c>
      <c r="B359" t="inlineStr">
        <is>
          <t>DM12</t>
        </is>
      </c>
      <c r="C359" t="inlineStr">
        <is>
          <t>Stationary infusion pump</t>
        </is>
      </c>
      <c r="D359" t="n">
        <v>1</v>
      </c>
      <c r="E359" s="2" t="n"/>
      <c r="F359" t="inlineStr"/>
      <c r="G359" s="2" t="inlineStr"/>
      <c r="H359" t="inlineStr"/>
      <c r="I359" s="2" t="inlineStr"/>
      <c r="J359" t="inlineStr"/>
      <c r="K359" s="2" t="inlineStr"/>
      <c r="L359" t="inlineStr"/>
      <c r="M359" s="2" t="inlineStr"/>
      <c r="N359" s="2" t="inlineStr"/>
      <c r="O359" s="2">
        <f>IF(P359=J359,I359,IF(P359=L359,K359,M359))</f>
        <v/>
      </c>
      <c r="P359" s="3">
        <f>MIN(J359,L359,N359)</f>
        <v/>
      </c>
      <c r="Q359">
        <f>G359*P359</f>
        <v/>
      </c>
      <c r="R359">
        <f>IF(ISBLANK(H359),0,G359*H359)</f>
        <v/>
      </c>
      <c r="S359">
        <f>IF(R359=0,0,(R359-Q359)/R359)</f>
        <v/>
      </c>
    </row>
    <row r="360">
      <c r="A360" t="inlineStr">
        <is>
          <t>A4305</t>
        </is>
      </c>
      <c r="B360" t="inlineStr">
        <is>
          <t>DM12</t>
        </is>
      </c>
      <c r="C360" t="inlineStr">
        <is>
          <t>Infusion pump supply - drug cassette</t>
        </is>
      </c>
      <c r="D360" t="n">
        <v>10</v>
      </c>
      <c r="E360" s="2" t="n"/>
      <c r="F360" t="inlineStr"/>
      <c r="G360" s="2" t="inlineStr"/>
      <c r="H360" t="inlineStr"/>
      <c r="I360" s="2" t="inlineStr"/>
      <c r="J360" t="inlineStr"/>
      <c r="K360" s="2" t="inlineStr"/>
      <c r="L360" t="inlineStr"/>
      <c r="M360" s="2" t="inlineStr"/>
      <c r="N360" s="2" t="inlineStr"/>
      <c r="O360" s="2">
        <f>IF(P360=J360,I360,IF(P360=L360,K360,M360))</f>
        <v/>
      </c>
      <c r="P360" s="3">
        <f>MIN(J360,L360,N360)</f>
        <v/>
      </c>
      <c r="Q360">
        <f>G360*P360</f>
        <v/>
      </c>
      <c r="R360">
        <f>IF(ISBLANK(H360),0,G360*H360)</f>
        <v/>
      </c>
      <c r="S360">
        <f>IF(R360=0,0,(R360-Q360)/R360)</f>
        <v/>
      </c>
    </row>
    <row r="361">
      <c r="A361" t="inlineStr">
        <is>
          <t>A4306</t>
        </is>
      </c>
      <c r="B361" t="inlineStr">
        <is>
          <t>DM12</t>
        </is>
      </c>
      <c r="C361" t="inlineStr">
        <is>
          <t>Infusion pump supply - administration set</t>
        </is>
      </c>
      <c r="D361" t="n">
        <v>10</v>
      </c>
      <c r="E361" s="2" t="n"/>
      <c r="F361" t="inlineStr"/>
      <c r="G361" s="2" t="inlineStr"/>
      <c r="H361" t="inlineStr"/>
      <c r="I361" s="2" t="inlineStr"/>
      <c r="J361" t="inlineStr"/>
      <c r="K361" s="2" t="inlineStr"/>
      <c r="L361" t="inlineStr"/>
      <c r="M361" s="2" t="inlineStr"/>
      <c r="N361" s="2" t="inlineStr"/>
      <c r="O361" s="2">
        <f>IF(P361=J361,I361,IF(P361=L361,K361,M361))</f>
        <v/>
      </c>
      <c r="P361" s="3">
        <f>MIN(J361,L361,N361)</f>
        <v/>
      </c>
      <c r="Q361">
        <f>G361*P361</f>
        <v/>
      </c>
      <c r="R361">
        <f>IF(ISBLANK(H361),0,G361*H361)</f>
        <v/>
      </c>
      <c r="S361">
        <f>IF(R361=0,0,(R361-Q361)/R361)</f>
        <v/>
      </c>
    </row>
    <row r="362">
      <c r="A362" t="inlineStr">
        <is>
          <t>E2402</t>
        </is>
      </c>
      <c r="B362" t="inlineStr">
        <is>
          <t>DM15</t>
        </is>
      </c>
      <c r="C362" t="inlineStr">
        <is>
          <t>Negative pressure wound therapy pump</t>
        </is>
      </c>
      <c r="D362" t="n">
        <v>1</v>
      </c>
      <c r="E362" s="2" t="n"/>
      <c r="F362" t="inlineStr"/>
      <c r="G362" s="2" t="inlineStr"/>
      <c r="H362" t="inlineStr"/>
      <c r="I362" s="2" t="inlineStr"/>
      <c r="J362" t="inlineStr"/>
      <c r="K362" s="2" t="inlineStr"/>
      <c r="L362" t="inlineStr"/>
      <c r="M362" s="2" t="inlineStr"/>
      <c r="N362" s="2" t="inlineStr"/>
      <c r="O362" s="2">
        <f>IF(P362=J362,I362,IF(P362=L362,K362,M362))</f>
        <v/>
      </c>
      <c r="P362" s="3">
        <f>MIN(J362,L362,N362)</f>
        <v/>
      </c>
      <c r="Q362">
        <f>G362*P362</f>
        <v/>
      </c>
      <c r="R362">
        <f>IF(ISBLANK(H362),0,G362*H362)</f>
        <v/>
      </c>
      <c r="S362">
        <f>IF(R362=0,0,(R362-Q362)/R362)</f>
        <v/>
      </c>
    </row>
    <row r="363">
      <c r="A363" t="inlineStr">
        <is>
          <t>A7000</t>
        </is>
      </c>
      <c r="B363" t="inlineStr">
        <is>
          <t>DM15</t>
        </is>
      </c>
      <c r="C363" t="inlineStr">
        <is>
          <t>NPWT canister - disposable</t>
        </is>
      </c>
      <c r="D363" t="n">
        <v>10</v>
      </c>
      <c r="E363" s="2" t="n">
        <v>9.1</v>
      </c>
      <c r="F363" t="inlineStr"/>
      <c r="G363" s="2" t="inlineStr"/>
      <c r="H363" t="inlineStr"/>
      <c r="I363" s="2" t="inlineStr"/>
      <c r="J363" t="inlineStr"/>
      <c r="K363" s="2" t="inlineStr"/>
      <c r="L363" t="inlineStr"/>
      <c r="M363" s="2" t="inlineStr"/>
      <c r="N363" s="2" t="inlineStr"/>
      <c r="O363" s="2">
        <f>IF(P363=J363,I363,IF(P363=L363,K363,M363))</f>
        <v/>
      </c>
      <c r="P363" s="3">
        <f>MIN(J363,L363,N363)</f>
        <v/>
      </c>
      <c r="Q363">
        <f>G363*P363</f>
        <v/>
      </c>
      <c r="R363">
        <f>IF(ISBLANK(H363),0,G363*H363)</f>
        <v/>
      </c>
      <c r="S363">
        <f>IF(R363=0,0,(R363-Q363)/R363)</f>
        <v/>
      </c>
    </row>
    <row r="364">
      <c r="A364" t="inlineStr">
        <is>
          <t>A6550</t>
        </is>
      </c>
      <c r="B364" t="inlineStr">
        <is>
          <t>DM15</t>
        </is>
      </c>
      <c r="C364" t="inlineStr">
        <is>
          <t>NPWT dressing kit</t>
        </is>
      </c>
      <c r="D364" t="n">
        <v>10</v>
      </c>
      <c r="E364" s="2" t="n">
        <v>30.45</v>
      </c>
      <c r="F364" t="inlineStr"/>
      <c r="G364" s="2" t="inlineStr"/>
      <c r="H364" t="inlineStr"/>
      <c r="I364" s="2" t="inlineStr"/>
      <c r="J364" t="inlineStr"/>
      <c r="K364" s="2" t="inlineStr"/>
      <c r="L364" t="inlineStr"/>
      <c r="M364" s="2" t="inlineStr"/>
      <c r="N364" s="2" t="inlineStr"/>
      <c r="O364" s="2">
        <f>IF(P364=J364,I364,IF(P364=L364,K364,M364))</f>
        <v/>
      </c>
      <c r="P364" s="3">
        <f>MIN(J364,L364,N364)</f>
        <v/>
      </c>
      <c r="Q364">
        <f>G364*P364</f>
        <v/>
      </c>
      <c r="R364">
        <f>IF(ISBLANK(H364),0,G364*H364)</f>
        <v/>
      </c>
      <c r="S364">
        <f>IF(R364=0,0,(R364-Q364)/R364)</f>
        <v/>
      </c>
    </row>
    <row r="365">
      <c r="A365" t="inlineStr">
        <is>
          <t>E0760</t>
        </is>
      </c>
      <c r="B365" t="inlineStr">
        <is>
          <t>DM17</t>
        </is>
      </c>
      <c r="C365" t="inlineStr">
        <is>
          <t>Osteogenesis stimulator - ultrasonic</t>
        </is>
      </c>
      <c r="D365" t="n">
        <v>1</v>
      </c>
      <c r="E365" s="2" t="n">
        <v>4517.27</v>
      </c>
      <c r="F365" t="inlineStr"/>
      <c r="G365" s="2" t="inlineStr"/>
      <c r="H365" t="inlineStr"/>
      <c r="I365" s="2" t="inlineStr"/>
      <c r="J365" t="inlineStr"/>
      <c r="K365" s="2" t="inlineStr"/>
      <c r="L365" t="inlineStr"/>
      <c r="M365" s="2" t="inlineStr"/>
      <c r="N365" s="2" t="inlineStr"/>
      <c r="O365" s="2">
        <f>IF(P365=J365,I365,IF(P365=L365,K365,M365))</f>
        <v/>
      </c>
      <c r="P365" s="3">
        <f>MIN(J365,L365,N365)</f>
        <v/>
      </c>
      <c r="Q365">
        <f>G365*P365</f>
        <v/>
      </c>
      <c r="R365">
        <f>IF(ISBLANK(H365),0,G365*H365)</f>
        <v/>
      </c>
      <c r="S365">
        <f>IF(R365=0,0,(R365-Q365)/R365)</f>
        <v/>
      </c>
    </row>
    <row r="366">
      <c r="A366" t="inlineStr">
        <is>
          <t>E0747</t>
        </is>
      </c>
      <c r="B366" t="inlineStr">
        <is>
          <t>DM17</t>
        </is>
      </c>
      <c r="C366" t="inlineStr">
        <is>
          <t>Osteogenesis stimulator - electromagnetic</t>
        </is>
      </c>
      <c r="D366" t="n">
        <v>1</v>
      </c>
      <c r="E366" s="2" t="n">
        <v>5437.38</v>
      </c>
      <c r="F366" t="inlineStr"/>
      <c r="G366" s="2" t="inlineStr"/>
      <c r="H366" t="inlineStr"/>
      <c r="I366" s="2" t="inlineStr"/>
      <c r="J366" t="inlineStr"/>
      <c r="K366" s="2" t="inlineStr"/>
      <c r="L366" t="inlineStr"/>
      <c r="M366" s="2" t="inlineStr"/>
      <c r="N366" s="2" t="inlineStr"/>
      <c r="O366" s="2">
        <f>IF(P366=J366,I366,IF(P366=L366,K366,M366))</f>
        <v/>
      </c>
      <c r="P366" s="3">
        <f>MIN(J366,L366,N366)</f>
        <v/>
      </c>
      <c r="Q366">
        <f>G366*P366</f>
        <v/>
      </c>
      <c r="R366">
        <f>IF(ISBLANK(H366),0,G366*H366)</f>
        <v/>
      </c>
      <c r="S366">
        <f>IF(R366=0,0,(R366-Q366)/R366)</f>
        <v/>
      </c>
    </row>
    <row r="367">
      <c r="A367" t="inlineStr">
        <is>
          <t>E0855</t>
        </is>
      </c>
      <c r="B367" t="inlineStr">
        <is>
          <t>DM21</t>
        </is>
      </c>
      <c r="C367" t="inlineStr">
        <is>
          <t>Cervical traction equipment</t>
        </is>
      </c>
      <c r="D367" t="n">
        <v>2</v>
      </c>
      <c r="E367" s="2" t="n"/>
      <c r="F367" t="inlineStr"/>
      <c r="G367" s="2" t="inlineStr"/>
      <c r="H367" t="inlineStr"/>
      <c r="I367" s="2" t="inlineStr"/>
      <c r="J367" t="inlineStr"/>
      <c r="K367" s="2" t="inlineStr"/>
      <c r="L367" t="inlineStr"/>
      <c r="M367" s="2" t="inlineStr"/>
      <c r="N367" s="2" t="inlineStr"/>
      <c r="O367" s="2">
        <f>IF(P367=J367,I367,IF(P367=L367,K367,M367))</f>
        <v/>
      </c>
      <c r="P367" s="3">
        <f>MIN(J367,L367,N367)</f>
        <v/>
      </c>
      <c r="Q367">
        <f>G367*P367</f>
        <v/>
      </c>
      <c r="R367">
        <f>IF(ISBLANK(H367),0,G367*H367)</f>
        <v/>
      </c>
      <c r="S367">
        <f>IF(R367=0,0,(R367-Q367)/R367)</f>
        <v/>
      </c>
    </row>
    <row r="368">
      <c r="A368" t="inlineStr">
        <is>
          <t>E0830</t>
        </is>
      </c>
      <c r="B368" t="inlineStr">
        <is>
          <t>DM21</t>
        </is>
      </c>
      <c r="C368" t="inlineStr">
        <is>
          <t>Ambulatory traction device</t>
        </is>
      </c>
      <c r="D368" t="n">
        <v>1</v>
      </c>
      <c r="E368" s="2" t="n"/>
      <c r="F368" t="inlineStr"/>
      <c r="G368" s="2" t="inlineStr"/>
      <c r="H368" t="inlineStr"/>
      <c r="I368" s="2" t="inlineStr"/>
      <c r="J368" t="inlineStr"/>
      <c r="K368" s="2" t="inlineStr"/>
      <c r="L368" t="inlineStr"/>
      <c r="M368" s="2" t="inlineStr"/>
      <c r="N368" s="2" t="inlineStr"/>
      <c r="O368" s="2">
        <f>IF(P368=J368,I368,IF(P368=L368,K368,M368))</f>
        <v/>
      </c>
      <c r="P368" s="3">
        <f>MIN(J368,L368,N368)</f>
        <v/>
      </c>
      <c r="Q368">
        <f>G368*P368</f>
        <v/>
      </c>
      <c r="R368">
        <f>IF(ISBLANK(H368),0,G368*H368)</f>
        <v/>
      </c>
      <c r="S368">
        <f>IF(R368=0,0,(R368-Q368)/R368)</f>
        <v/>
      </c>
    </row>
    <row r="369">
      <c r="A369" t="inlineStr">
        <is>
          <t>A7520</t>
        </is>
      </c>
      <c r="B369" t="inlineStr">
        <is>
          <t>PD08</t>
        </is>
      </c>
      <c r="C369" t="inlineStr">
        <is>
          <t>Tracheostomy tube - cuffed</t>
        </is>
      </c>
      <c r="D369" t="n">
        <v>5</v>
      </c>
      <c r="E369" s="2" t="n">
        <v>66.33</v>
      </c>
      <c r="F369" t="inlineStr"/>
      <c r="G369" s="2" t="inlineStr"/>
      <c r="H369" t="inlineStr"/>
      <c r="I369" s="2" t="inlineStr"/>
      <c r="J369" t="inlineStr"/>
      <c r="K369" s="2" t="inlineStr"/>
      <c r="L369" t="inlineStr"/>
      <c r="M369" s="2" t="inlineStr"/>
      <c r="N369" s="2" t="inlineStr"/>
      <c r="O369" s="2">
        <f>IF(P369=J369,I369,IF(P369=L369,K369,M369))</f>
        <v/>
      </c>
      <c r="P369" s="3">
        <f>MIN(J369,L369,N369)</f>
        <v/>
      </c>
      <c r="Q369">
        <f>G369*P369</f>
        <v/>
      </c>
      <c r="R369">
        <f>IF(ISBLANK(H369),0,G369*H369)</f>
        <v/>
      </c>
      <c r="S369">
        <f>IF(R369=0,0,(R369-Q369)/R369)</f>
        <v/>
      </c>
    </row>
    <row r="370">
      <c r="A370" t="inlineStr">
        <is>
          <t>A7521</t>
        </is>
      </c>
      <c r="B370" t="inlineStr">
        <is>
          <t>PD08</t>
        </is>
      </c>
      <c r="C370" t="inlineStr">
        <is>
          <t>Tracheostomy tube - uncuffed</t>
        </is>
      </c>
      <c r="D370" t="n">
        <v>5</v>
      </c>
      <c r="E370" s="2" t="n">
        <v>65.73</v>
      </c>
      <c r="F370" t="inlineStr"/>
      <c r="G370" s="2" t="inlineStr"/>
      <c r="H370" t="inlineStr"/>
      <c r="I370" s="2" t="inlineStr"/>
      <c r="J370" t="inlineStr"/>
      <c r="K370" s="2" t="inlineStr"/>
      <c r="L370" t="inlineStr"/>
      <c r="M370" s="2" t="inlineStr"/>
      <c r="N370" s="2" t="inlineStr"/>
      <c r="O370" s="2">
        <f>IF(P370=J370,I370,IF(P370=L370,K370,M370))</f>
        <v/>
      </c>
      <c r="P370" s="3">
        <f>MIN(J370,L370,N370)</f>
        <v/>
      </c>
      <c r="Q370">
        <f>G370*P370</f>
        <v/>
      </c>
      <c r="R370">
        <f>IF(ISBLANK(H370),0,G370*H370)</f>
        <v/>
      </c>
      <c r="S370">
        <f>IF(R370=0,0,(R370-Q370)/R370)</f>
        <v/>
      </c>
    </row>
    <row r="371">
      <c r="A371" t="inlineStr">
        <is>
          <t>A4625</t>
        </is>
      </c>
      <c r="B371" t="inlineStr">
        <is>
          <t>PD08</t>
        </is>
      </c>
      <c r="C371" t="inlineStr">
        <is>
          <t>Tracheostomy care kit</t>
        </is>
      </c>
      <c r="D371" t="n">
        <v>10</v>
      </c>
      <c r="E371" s="2" t="n">
        <v>9.68</v>
      </c>
      <c r="F371" t="inlineStr"/>
      <c r="G371" s="2" t="inlineStr"/>
      <c r="H371" t="inlineStr"/>
      <c r="I371" s="2" t="inlineStr"/>
      <c r="J371" t="inlineStr"/>
      <c r="K371" s="2" t="inlineStr"/>
      <c r="L371" t="inlineStr"/>
      <c r="M371" s="2" t="inlineStr"/>
      <c r="N371" s="2" t="inlineStr"/>
      <c r="O371" s="2">
        <f>IF(P371=J371,I371,IF(P371=L371,K371,M371))</f>
        <v/>
      </c>
      <c r="P371" s="3">
        <f>MIN(J371,L371,N371)</f>
        <v/>
      </c>
      <c r="Q371">
        <f>G371*P371</f>
        <v/>
      </c>
      <c r="R371">
        <f>IF(ISBLANK(H371),0,G371*H371)</f>
        <v/>
      </c>
      <c r="S371">
        <f>IF(R371=0,0,(R371-Q371)/R371)</f>
        <v/>
      </c>
    </row>
    <row r="372">
      <c r="A372" t="inlineStr">
        <is>
          <t>A4626</t>
        </is>
      </c>
      <c r="B372" t="inlineStr">
        <is>
          <t>PD08</t>
        </is>
      </c>
      <c r="C372" t="inlineStr">
        <is>
          <t>Tracheostomy cleaning brush</t>
        </is>
      </c>
      <c r="D372" t="n">
        <v>10</v>
      </c>
      <c r="E372" s="2" t="n">
        <v>4.45</v>
      </c>
      <c r="F372" t="inlineStr"/>
      <c r="G372" s="2" t="inlineStr"/>
      <c r="H372" t="inlineStr"/>
      <c r="I372" s="2" t="inlineStr"/>
      <c r="J372" t="inlineStr"/>
      <c r="K372" s="2" t="inlineStr"/>
      <c r="L372" t="inlineStr"/>
      <c r="M372" s="2" t="inlineStr"/>
      <c r="N372" s="2" t="inlineStr"/>
      <c r="O372" s="2">
        <f>IF(P372=J372,I372,IF(P372=L372,K372,M372))</f>
        <v/>
      </c>
      <c r="P372" s="3">
        <f>MIN(J372,L372,N372)</f>
        <v/>
      </c>
      <c r="Q372">
        <f>G372*P372</f>
        <v/>
      </c>
      <c r="R372">
        <f>IF(ISBLANK(H372),0,G372*H372)</f>
        <v/>
      </c>
      <c r="S372">
        <f>IF(R372=0,0,(R372-Q372)/R372)</f>
        <v/>
      </c>
    </row>
    <row r="373">
      <c r="A373" t="inlineStr">
        <is>
          <t>B4034</t>
        </is>
      </c>
      <c r="B373" t="inlineStr">
        <is>
          <t>PE04</t>
        </is>
      </c>
      <c r="C373" t="inlineStr">
        <is>
          <t>Enteral feeding bag</t>
        </is>
      </c>
      <c r="D373" t="n">
        <v>15</v>
      </c>
      <c r="E373" s="2" t="n">
        <v>3.75</v>
      </c>
      <c r="F373" t="inlineStr"/>
      <c r="G373" s="2" t="inlineStr"/>
      <c r="H373" t="inlineStr"/>
      <c r="I373" s="2" t="inlineStr"/>
      <c r="J373" t="inlineStr"/>
      <c r="K373" s="2" t="inlineStr"/>
      <c r="L373" t="inlineStr"/>
      <c r="M373" s="2" t="inlineStr"/>
      <c r="N373" s="2" t="inlineStr"/>
      <c r="O373" s="2">
        <f>IF(P373=J373,I373,IF(P373=L373,K373,M373))</f>
        <v/>
      </c>
      <c r="P373" s="3">
        <f>MIN(J373,L373,N373)</f>
        <v/>
      </c>
      <c r="Q373">
        <f>G373*P373</f>
        <v/>
      </c>
      <c r="R373">
        <f>IF(ISBLANK(H373),0,G373*H373)</f>
        <v/>
      </c>
      <c r="S373">
        <f>IF(R373=0,0,(R373-Q373)/R373)</f>
        <v/>
      </c>
    </row>
    <row r="374">
      <c r="A374" t="inlineStr">
        <is>
          <t>B4035</t>
        </is>
      </c>
      <c r="B374" t="inlineStr">
        <is>
          <t>PE04</t>
        </is>
      </c>
      <c r="C374" t="inlineStr">
        <is>
          <t>Enteral feeding bag - gravity</t>
        </is>
      </c>
      <c r="D374" t="n">
        <v>10</v>
      </c>
      <c r="E374" s="2" t="n">
        <v>6.24</v>
      </c>
      <c r="F374" t="inlineStr"/>
      <c r="G374" s="2" t="inlineStr"/>
      <c r="H374" t="inlineStr"/>
      <c r="I374" s="2" t="inlineStr"/>
      <c r="J374" t="inlineStr"/>
      <c r="K374" s="2" t="inlineStr"/>
      <c r="L374" t="inlineStr"/>
      <c r="M374" s="2" t="inlineStr"/>
      <c r="N374" s="2" t="inlineStr"/>
      <c r="O374" s="2">
        <f>IF(P374=J374,I374,IF(P374=L374,K374,M374))</f>
        <v/>
      </c>
      <c r="P374" s="3">
        <f>MIN(J374,L374,N374)</f>
        <v/>
      </c>
      <c r="Q374">
        <f>G374*P374</f>
        <v/>
      </c>
      <c r="R374">
        <f>IF(ISBLANK(H374),0,G374*H374)</f>
        <v/>
      </c>
      <c r="S374">
        <f>IF(R374=0,0,(R374-Q374)/R374)</f>
        <v/>
      </c>
    </row>
    <row r="375">
      <c r="A375" t="inlineStr">
        <is>
          <t>B4088</t>
        </is>
      </c>
      <c r="B375" t="inlineStr">
        <is>
          <t>PE04</t>
        </is>
      </c>
      <c r="C375" t="inlineStr">
        <is>
          <t>Enteral extension set</t>
        </is>
      </c>
      <c r="D375" t="n">
        <v>15</v>
      </c>
      <c r="E375" s="2" t="n">
        <v>33.73</v>
      </c>
      <c r="F375" t="inlineStr"/>
      <c r="G375" s="2" t="inlineStr"/>
      <c r="H375" t="inlineStr"/>
      <c r="I375" s="2" t="inlineStr"/>
      <c r="J375" t="inlineStr"/>
      <c r="K375" s="2" t="inlineStr"/>
      <c r="L375" t="inlineStr"/>
      <c r="M375" s="2" t="inlineStr"/>
      <c r="N375" s="2" t="inlineStr"/>
      <c r="O375" s="2">
        <f>IF(P375=J375,I375,IF(P375=L375,K375,M375))</f>
        <v/>
      </c>
      <c r="P375" s="3">
        <f>MIN(J375,L375,N375)</f>
        <v/>
      </c>
      <c r="Q375">
        <f>G375*P375</f>
        <v/>
      </c>
      <c r="R375">
        <f>IF(ISBLANK(H375),0,G375*H375)</f>
        <v/>
      </c>
      <c r="S375">
        <f>IF(R375=0,0,(R375-Q375)/R375)</f>
        <v/>
      </c>
    </row>
    <row r="376">
      <c r="A376" t="inlineStr">
        <is>
          <t>B4081</t>
        </is>
      </c>
      <c r="B376" t="inlineStr">
        <is>
          <t>PE04</t>
        </is>
      </c>
      <c r="C376" t="inlineStr">
        <is>
          <t>Enteral feeding tube - nasogastric</t>
        </is>
      </c>
      <c r="D376" t="n">
        <v>10</v>
      </c>
      <c r="E376" s="2" t="n">
        <v>18.12</v>
      </c>
      <c r="F376" t="inlineStr"/>
      <c r="G376" s="2" t="inlineStr"/>
      <c r="H376" t="inlineStr"/>
      <c r="I376" s="2" t="inlineStr"/>
      <c r="J376" t="inlineStr"/>
      <c r="K376" s="2" t="inlineStr"/>
      <c r="L376" t="inlineStr"/>
      <c r="M376" s="2" t="inlineStr"/>
      <c r="N376" s="2" t="inlineStr"/>
      <c r="O376" s="2">
        <f>IF(P376=J376,I376,IF(P376=L376,K376,M376))</f>
        <v/>
      </c>
      <c r="P376" s="3">
        <f>MIN(J376,L376,N376)</f>
        <v/>
      </c>
      <c r="Q376">
        <f>G376*P376</f>
        <v/>
      </c>
      <c r="R376">
        <f>IF(ISBLANK(H376),0,G376*H376)</f>
        <v/>
      </c>
      <c r="S376">
        <f>IF(R376=0,0,(R376-Q376)/R376)</f>
        <v/>
      </c>
    </row>
    <row r="377">
      <c r="A377" t="inlineStr">
        <is>
          <t>A7505</t>
        </is>
      </c>
      <c r="B377" t="inlineStr">
        <is>
          <t>PD08</t>
        </is>
      </c>
      <c r="C377" t="inlineStr">
        <is>
          <t>Trach speaking valve - one way</t>
        </is>
      </c>
      <c r="D377" t="n">
        <v>3</v>
      </c>
      <c r="E377" s="2" t="n">
        <v>6.55</v>
      </c>
      <c r="F377" t="inlineStr"/>
      <c r="G377" s="2" t="inlineStr"/>
      <c r="H377" t="inlineStr"/>
      <c r="I377" s="2" t="inlineStr"/>
      <c r="J377" t="inlineStr"/>
      <c r="K377" s="2" t="inlineStr"/>
      <c r="L377" t="inlineStr"/>
      <c r="M377" s="2" t="inlineStr"/>
      <c r="N377" s="2" t="inlineStr"/>
      <c r="O377" s="2">
        <f>IF(P377=J377,I377,IF(P377=L377,K377,M377))</f>
        <v/>
      </c>
      <c r="P377" s="3">
        <f>MIN(J377,L377,N377)</f>
        <v/>
      </c>
      <c r="Q377">
        <f>G377*P377</f>
        <v/>
      </c>
      <c r="R377">
        <f>IF(ISBLANK(H377),0,G377*H377)</f>
        <v/>
      </c>
      <c r="S377">
        <f>IF(R377=0,0,(R377-Q377)/R377)</f>
        <v/>
      </c>
    </row>
    <row r="378">
      <c r="A378" t="inlineStr">
        <is>
          <t>A7506</t>
        </is>
      </c>
      <c r="B378" t="inlineStr">
        <is>
          <t>PD08</t>
        </is>
      </c>
      <c r="C378" t="inlineStr">
        <is>
          <t>Trach speaking valve - one way with adapter</t>
        </is>
      </c>
      <c r="D378" t="n">
        <v>2</v>
      </c>
      <c r="E378" s="2" t="n">
        <v>0.45</v>
      </c>
      <c r="F378" t="inlineStr"/>
      <c r="G378" s="2" t="inlineStr"/>
      <c r="H378" t="inlineStr"/>
      <c r="I378" s="2" t="inlineStr"/>
      <c r="J378" t="inlineStr"/>
      <c r="K378" s="2" t="inlineStr"/>
      <c r="L378" t="inlineStr"/>
      <c r="M378" s="2" t="inlineStr"/>
      <c r="N378" s="2" t="inlineStr"/>
      <c r="O378" s="2">
        <f>IF(P378=J378,I378,IF(P378=L378,K378,M378))</f>
        <v/>
      </c>
      <c r="P378" s="3">
        <f>MIN(J378,L378,N378)</f>
        <v/>
      </c>
      <c r="Q378">
        <f>G378*P378</f>
        <v/>
      </c>
      <c r="R378">
        <f>IF(ISBLANK(H378),0,G378*H378)</f>
        <v/>
      </c>
      <c r="S378">
        <f>IF(R378=0,0,(R378-Q378)/R378)</f>
        <v/>
      </c>
    </row>
    <row r="379">
      <c r="A379" t="inlineStr">
        <is>
          <t>A4481</t>
        </is>
      </c>
      <c r="B379" t="inlineStr">
        <is>
          <t>PD08</t>
        </is>
      </c>
      <c r="C379" t="inlineStr">
        <is>
          <t>Tracheostomy filter</t>
        </is>
      </c>
      <c r="D379" t="n">
        <v>15</v>
      </c>
      <c r="E379" s="2" t="n">
        <v>0.5</v>
      </c>
      <c r="F379" t="inlineStr"/>
      <c r="G379" s="2" t="inlineStr"/>
      <c r="H379" t="inlineStr"/>
      <c r="I379" s="2" t="inlineStr"/>
      <c r="J379" t="inlineStr"/>
      <c r="K379" s="2" t="inlineStr"/>
      <c r="L379" t="inlineStr"/>
      <c r="M379" s="2" t="inlineStr"/>
      <c r="N379" s="2" t="inlineStr"/>
      <c r="O379" s="2">
        <f>IF(P379=J379,I379,IF(P379=L379,K379,M379))</f>
        <v/>
      </c>
      <c r="P379" s="3">
        <f>MIN(J379,L379,N379)</f>
        <v/>
      </c>
      <c r="Q379">
        <f>G379*P379</f>
        <v/>
      </c>
      <c r="R379">
        <f>IF(ISBLANK(H379),0,G379*H379)</f>
        <v/>
      </c>
      <c r="S379">
        <f>IF(R379=0,0,(R379-Q379)/R379)</f>
        <v/>
      </c>
    </row>
    <row r="380">
      <c r="A380" t="inlineStr">
        <is>
          <t>A4483</t>
        </is>
      </c>
      <c r="B380" t="inlineStr">
        <is>
          <t>PD08</t>
        </is>
      </c>
      <c r="C380" t="inlineStr">
        <is>
          <t>Tracheostomy moisture exchanger</t>
        </is>
      </c>
      <c r="D380" t="n">
        <v>15</v>
      </c>
      <c r="E380" s="2" t="n"/>
      <c r="F380" t="inlineStr"/>
      <c r="G380" s="2" t="inlineStr"/>
      <c r="H380" t="inlineStr"/>
      <c r="I380" s="2" t="inlineStr"/>
      <c r="J380" t="inlineStr"/>
      <c r="K380" s="2" t="inlineStr"/>
      <c r="L380" t="inlineStr"/>
      <c r="M380" s="2" t="inlineStr"/>
      <c r="N380" s="2" t="inlineStr"/>
      <c r="O380" s="2">
        <f>IF(P380=J380,I380,IF(P380=L380,K380,M380))</f>
        <v/>
      </c>
      <c r="P380" s="3">
        <f>MIN(J380,L380,N380)</f>
        <v/>
      </c>
      <c r="Q380">
        <f>G380*P380</f>
        <v/>
      </c>
      <c r="R380">
        <f>IF(ISBLANK(H380),0,G380*H380)</f>
        <v/>
      </c>
      <c r="S380">
        <f>IF(R380=0,0,(R380-Q380)/R380)</f>
        <v/>
      </c>
    </row>
    <row r="381">
      <c r="A381" t="inlineStr">
        <is>
          <t>E1229</t>
        </is>
      </c>
      <c r="B381" t="inlineStr">
        <is>
          <t>M06</t>
        </is>
      </c>
      <c r="C381" t="inlineStr">
        <is>
          <t>WHEELCHAIR, PEDIATRIC SIZE, NOT OTHERWISE SPECIFIED</t>
        </is>
      </c>
      <c r="D381" t="n">
        <v>1</v>
      </c>
      <c r="E381" s="2" t="n"/>
      <c r="F381" t="inlineStr"/>
      <c r="G381" s="2" t="inlineStr"/>
      <c r="H381" t="inlineStr"/>
      <c r="I381" s="2" t="inlineStr"/>
      <c r="J381" t="inlineStr"/>
      <c r="K381" s="2" t="inlineStr"/>
      <c r="L381" t="inlineStr"/>
      <c r="M381" s="2" t="inlineStr"/>
      <c r="N381" s="2" t="inlineStr"/>
      <c r="O381" s="2">
        <f>IF(P381=J381,I381,IF(P381=L381,K381,M381))</f>
        <v/>
      </c>
      <c r="P381" s="3">
        <f>MIN(J381,L381,N381)</f>
        <v/>
      </c>
      <c r="Q381">
        <f>G381*P381</f>
        <v/>
      </c>
      <c r="R381">
        <f>IF(ISBLANK(H381),0,G381*H381)</f>
        <v/>
      </c>
      <c r="S381">
        <f>IF(R381=0,0,(R381-Q381)/R381)</f>
        <v/>
      </c>
    </row>
    <row r="382">
      <c r="A382" t="inlineStr">
        <is>
          <t>A9900</t>
        </is>
      </c>
      <c r="B382" t="inlineStr">
        <is>
          <t>M05</t>
        </is>
      </c>
      <c r="C382" t="inlineStr">
        <is>
          <t>MISCELLANEOUS DME SUPPLY, ACCESSORY, AND/OR SERVICE COMPONENT OF ANOTHER HCPCS CODE</t>
        </is>
      </c>
      <c r="D382" t="n">
        <v>1</v>
      </c>
      <c r="E382" s="2" t="n"/>
      <c r="F382" t="inlineStr"/>
      <c r="G382" s="2" t="inlineStr"/>
      <c r="H382" t="inlineStr"/>
      <c r="I382" s="2" t="inlineStr"/>
      <c r="J382" t="inlineStr"/>
      <c r="K382" s="2" t="inlineStr"/>
      <c r="L382" t="inlineStr"/>
      <c r="M382" s="2" t="inlineStr"/>
      <c r="N382" s="2" t="inlineStr"/>
      <c r="O382" s="2">
        <f>IF(P382=J382,I382,IF(P382=L382,K382,M382))</f>
        <v/>
      </c>
      <c r="P382" s="3">
        <f>MIN(J382,L382,N382)</f>
        <v/>
      </c>
      <c r="Q382">
        <f>G382*P382</f>
        <v/>
      </c>
      <c r="R382">
        <f>IF(ISBLANK(H382),0,G382*H382)</f>
        <v/>
      </c>
      <c r="S382">
        <f>IF(R382=0,0,(R382-Q382)/R382)</f>
        <v/>
      </c>
    </row>
    <row r="383">
      <c r="A383" t="inlineStr">
        <is>
          <t>K0008</t>
        </is>
      </c>
      <c r="B383" t="inlineStr">
        <is>
          <t>M06</t>
        </is>
      </c>
      <c r="C383" t="inlineStr">
        <is>
          <t>CUSTOM MANUAL WHEELCHAIR/BASE</t>
        </is>
      </c>
      <c r="D383" t="n">
        <v>1</v>
      </c>
      <c r="E383" s="2" t="n"/>
      <c r="F383" t="inlineStr"/>
      <c r="G383" s="2" t="inlineStr"/>
      <c r="H383" t="inlineStr"/>
      <c r="I383" s="2" t="inlineStr"/>
      <c r="J383" t="inlineStr"/>
      <c r="K383" s="2" t="inlineStr"/>
      <c r="L383" t="inlineStr"/>
      <c r="M383" s="2" t="inlineStr"/>
      <c r="N383" s="2" t="inlineStr"/>
      <c r="O383" s="2">
        <f>IF(P383=J383,I383,IF(P383=L383,K383,M383))</f>
        <v/>
      </c>
      <c r="P383" s="3">
        <f>MIN(J383,L383,N383)</f>
        <v/>
      </c>
      <c r="Q383">
        <f>G383*P383</f>
        <v/>
      </c>
      <c r="R383">
        <f>IF(ISBLANK(H383),0,G383*H383)</f>
        <v/>
      </c>
      <c r="S383">
        <f>IF(R383=0,0,(R383-Q383)/R383)</f>
        <v/>
      </c>
    </row>
    <row r="384">
      <c r="A384" t="inlineStr">
        <is>
          <t>E0118</t>
        </is>
      </c>
      <c r="B384" t="inlineStr">
        <is>
          <t>M01</t>
        </is>
      </c>
      <c r="C384" t="inlineStr">
        <is>
          <t>CRUTCH SUBSTITUTE, LOWER LEG PLATFORM, WITH OR WITHOUT WHEELS, EACH</t>
        </is>
      </c>
      <c r="D384" t="n">
        <v>1</v>
      </c>
      <c r="E384" s="2" t="n"/>
      <c r="F384" t="inlineStr"/>
      <c r="G384" s="2" t="inlineStr"/>
      <c r="H384" t="inlineStr"/>
      <c r="I384" s="2" t="inlineStr"/>
      <c r="J384" t="inlineStr"/>
      <c r="K384" s="2" t="inlineStr"/>
      <c r="L384" t="inlineStr"/>
      <c r="M384" s="2" t="inlineStr"/>
      <c r="N384" s="2" t="inlineStr"/>
      <c r="O384" s="2">
        <f>IF(P384=J384,I384,IF(P384=L384,K384,M384))</f>
        <v/>
      </c>
      <c r="P384" s="3">
        <f>MIN(J384,L384,N384)</f>
        <v/>
      </c>
      <c r="Q384">
        <f>G384*P384</f>
        <v/>
      </c>
      <c r="R384">
        <f>IF(ISBLANK(H384),0,G384*H384)</f>
        <v/>
      </c>
      <c r="S384">
        <f>IF(R384=0,0,(R384-Q384)/R384)</f>
        <v/>
      </c>
    </row>
  </sheetData>
  <conditionalFormatting sqref="S2:S384">
    <cfRule type="cellIs" priority="1" operator="greaterThan" dxfId="0" stopIfTrue="1">
      <formula>0.3</formula>
    </cfRule>
    <cfRule type="cellIs" priority="2" operator="between" dxfId="1" stopIfTrue="1">
      <formula>0.1</formula>
      <formula>0.3</formula>
    </cfRule>
    <cfRule type="cellIs" priority="3" operator="lessThan" dxfId="2" stopIfTrue="1">
      <formula>0.1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4" t="inlineStr">
        <is>
          <t>BOC Category</t>
        </is>
      </c>
      <c r="B1" s="4" t="inlineStr">
        <is>
          <t>SKU Count</t>
        </is>
      </c>
      <c r="C1" s="4" t="inlineStr">
        <is>
          <t>Investment</t>
        </is>
      </c>
      <c r="D1" s="4" t="inlineStr">
        <is>
          <t>Revenue Potential</t>
        </is>
      </c>
      <c r="E1" s="4" t="inlineStr">
        <is>
          <t>Profit Potential</t>
        </is>
      </c>
      <c r="F1" s="4" t="inlineStr">
        <is>
          <t>ROI %</t>
        </is>
      </c>
      <c r="G1" s="4" t="inlineStr">
        <is>
          <t>Avg Margin %</t>
        </is>
      </c>
    </row>
    <row r="2">
      <c r="A2" t="inlineStr">
        <is>
          <t>S04</t>
        </is>
      </c>
      <c r="B2" t="n">
        <v>71</v>
      </c>
      <c r="C2" s="2" t="n">
        <v>33184.93542857143</v>
      </c>
      <c r="D2" s="2" t="n">
        <v>54786.45</v>
      </c>
      <c r="E2" s="2" t="n">
        <v>21914.58</v>
      </c>
      <c r="F2" s="3" t="n">
        <v>66.03773584905662</v>
      </c>
      <c r="G2" s="3" t="n">
        <v>40.00000000000001</v>
      </c>
    </row>
    <row r="3">
      <c r="A3" t="inlineStr">
        <is>
          <t>DM06</t>
        </is>
      </c>
      <c r="B3" t="n">
        <v>7</v>
      </c>
      <c r="C3" s="2" t="n">
        <v>9050</v>
      </c>
      <c r="D3" s="2" t="n">
        <v>24871.2</v>
      </c>
      <c r="E3" s="2" t="n">
        <v>15821.2</v>
      </c>
      <c r="F3" s="3" t="n">
        <v>174.8198895027624</v>
      </c>
      <c r="G3" s="3" t="n">
        <v>63.61253176364631</v>
      </c>
    </row>
    <row r="4">
      <c r="A4" t="inlineStr">
        <is>
          <t>DM08</t>
        </is>
      </c>
      <c r="B4" t="n">
        <v>6</v>
      </c>
      <c r="C4" s="2" t="n">
        <v>2210</v>
      </c>
      <c r="D4" s="2" t="n">
        <v>14750.85</v>
      </c>
      <c r="E4" s="2" t="n">
        <v>13325.85</v>
      </c>
      <c r="F4" s="3" t="n">
        <v>602.9796380090498</v>
      </c>
      <c r="G4" s="3" t="n">
        <v>90.33953975533613</v>
      </c>
    </row>
    <row r="5">
      <c r="A5" t="inlineStr">
        <is>
          <t>DM18</t>
        </is>
      </c>
      <c r="B5" t="n">
        <v>4</v>
      </c>
      <c r="C5" s="2" t="n">
        <v>2160</v>
      </c>
      <c r="D5" s="2" t="n">
        <v>12113.87</v>
      </c>
      <c r="E5" s="2" t="n">
        <v>9953.870000000001</v>
      </c>
      <c r="F5" s="3" t="n">
        <v>460.8273148148148</v>
      </c>
      <c r="G5" s="3" t="n">
        <v>82.16919943832978</v>
      </c>
    </row>
    <row r="6">
      <c r="A6" t="inlineStr">
        <is>
          <t>DM17</t>
        </is>
      </c>
      <c r="B6" t="n">
        <v>2</v>
      </c>
      <c r="C6" s="2" t="n">
        <v>1000</v>
      </c>
      <c r="D6" s="2" t="n">
        <v>9954.650000000001</v>
      </c>
      <c r="E6" s="2" t="n">
        <v>8954.65</v>
      </c>
      <c r="F6" s="3" t="n">
        <v>895.4649999999999</v>
      </c>
      <c r="G6" s="3" t="n">
        <v>89.95444340082271</v>
      </c>
    </row>
    <row r="7">
      <c r="A7" t="inlineStr">
        <is>
          <t>M06A</t>
        </is>
      </c>
      <c r="B7" t="n">
        <v>74</v>
      </c>
      <c r="C7" s="2" t="n">
        <v>8208.914571428571</v>
      </c>
      <c r="D7" s="2" t="n">
        <v>13179.45</v>
      </c>
      <c r="E7" s="2" t="n">
        <v>5271.780000000001</v>
      </c>
      <c r="F7" s="3" t="n">
        <v>64.22018348623854</v>
      </c>
      <c r="G7" s="3" t="n">
        <v>40</v>
      </c>
    </row>
    <row r="8">
      <c r="A8" t="inlineStr">
        <is>
          <t>DM29</t>
        </is>
      </c>
      <c r="B8" t="n">
        <v>3</v>
      </c>
      <c r="C8" s="2" t="n">
        <v>1460</v>
      </c>
      <c r="D8" s="2" t="n">
        <v>5207.8</v>
      </c>
      <c r="E8" s="2" t="n">
        <v>4797.8</v>
      </c>
      <c r="F8" s="3" t="n">
        <v>328.6164383561644</v>
      </c>
      <c r="G8" s="3" t="n">
        <v>92.12719382464765</v>
      </c>
    </row>
    <row r="9">
      <c r="A9" t="inlineStr">
        <is>
          <t>OR03</t>
        </is>
      </c>
      <c r="B9" t="n">
        <v>16</v>
      </c>
      <c r="C9" s="2" t="n">
        <v>4490</v>
      </c>
      <c r="D9" s="2" t="n">
        <v>7846.49</v>
      </c>
      <c r="E9" s="2" t="n">
        <v>3916.49</v>
      </c>
      <c r="F9" s="3" t="n">
        <v>87.22694877505567</v>
      </c>
      <c r="G9" s="3" t="n">
        <v>49.91391055108717</v>
      </c>
    </row>
    <row r="10">
      <c r="A10" t="inlineStr">
        <is>
          <t>S01</t>
        </is>
      </c>
      <c r="B10" t="n">
        <v>92</v>
      </c>
      <c r="C10" s="2" t="n">
        <v>3908.010337078651</v>
      </c>
      <c r="D10" s="2" t="n">
        <v>6370.2</v>
      </c>
      <c r="E10" s="2" t="n">
        <v>2548.08</v>
      </c>
      <c r="F10" s="3" t="n">
        <v>65.2014652014652</v>
      </c>
      <c r="G10" s="3" t="n">
        <v>40</v>
      </c>
    </row>
    <row r="11">
      <c r="A11" t="inlineStr">
        <is>
          <t>M01</t>
        </is>
      </c>
      <c r="B11" t="n">
        <v>14</v>
      </c>
      <c r="C11" s="2" t="n">
        <v>735.1684615384615</v>
      </c>
      <c r="D11" s="2" t="n">
        <v>1179.9</v>
      </c>
      <c r="E11" s="2" t="n">
        <v>471.96</v>
      </c>
      <c r="F11" s="3" t="n">
        <v>64.19753086419753</v>
      </c>
      <c r="G11" s="3" t="n">
        <v>40</v>
      </c>
    </row>
    <row r="12">
      <c r="A12" t="inlineStr">
        <is>
          <t>M05</t>
        </is>
      </c>
      <c r="B12" t="n">
        <v>17</v>
      </c>
      <c r="C12" s="2" t="n">
        <v>2297.611625</v>
      </c>
      <c r="D12" s="2" t="n">
        <v>2360.18</v>
      </c>
      <c r="E12" s="2" t="n">
        <v>102.792</v>
      </c>
      <c r="F12" s="3" t="n">
        <v>4.473863157791085</v>
      </c>
      <c r="G12" s="3" t="n">
        <v>4.35526103941225</v>
      </c>
    </row>
    <row r="13">
      <c r="A13" t="inlineStr">
        <is>
          <t>PD09</t>
        </is>
      </c>
      <c r="B13" t="n">
        <v>6</v>
      </c>
      <c r="C13" s="2" t="n">
        <v>3757.524</v>
      </c>
      <c r="D13" s="2" t="n">
        <v>12.54</v>
      </c>
      <c r="E13" s="2" t="n">
        <v>5.016</v>
      </c>
      <c r="F13" s="3" t="n">
        <v>0.1334921613275125</v>
      </c>
      <c r="G13" s="3" t="n">
        <v>40</v>
      </c>
    </row>
    <row r="14">
      <c r="A14" t="inlineStr">
        <is>
          <t>DM05</t>
        </is>
      </c>
      <c r="B14" t="n">
        <v>1</v>
      </c>
      <c r="C14" s="2" t="n">
        <v>0.612</v>
      </c>
      <c r="D14" s="2" t="n">
        <v>1.02</v>
      </c>
      <c r="E14" s="2" t="n">
        <v>0.408</v>
      </c>
      <c r="F14" s="3" t="n">
        <v>66.66666666666666</v>
      </c>
      <c r="G14" s="3" t="n">
        <v>40</v>
      </c>
    </row>
    <row r="15">
      <c r="A15" t="inlineStr">
        <is>
          <t>DM11</t>
        </is>
      </c>
      <c r="B15" t="n">
        <v>2</v>
      </c>
      <c r="C15" s="2" t="n">
        <v>775</v>
      </c>
      <c r="D15" s="2" t="n">
        <v>0</v>
      </c>
      <c r="E15" s="2" t="n">
        <v>0</v>
      </c>
      <c r="F15" s="3" t="n">
        <v>0</v>
      </c>
      <c r="G15" s="3" t="n">
        <v/>
      </c>
    </row>
    <row r="16">
      <c r="A16" t="inlineStr">
        <is>
          <t>DM12</t>
        </is>
      </c>
      <c r="B16" t="n">
        <v>4</v>
      </c>
      <c r="C16" s="2" t="n">
        <v>1950</v>
      </c>
      <c r="D16" s="2" t="n">
        <v>0</v>
      </c>
      <c r="E16" s="2" t="n">
        <v>0</v>
      </c>
      <c r="F16" s="3" t="n">
        <v>0</v>
      </c>
      <c r="G16" s="3" t="n">
        <v/>
      </c>
    </row>
    <row r="17">
      <c r="A17" t="inlineStr">
        <is>
          <t>DM21</t>
        </is>
      </c>
      <c r="B17" t="n">
        <v>3</v>
      </c>
      <c r="C17" s="2" t="n">
        <v>745</v>
      </c>
      <c r="D17" s="2" t="n">
        <v>168.22</v>
      </c>
      <c r="E17" s="2" t="n">
        <v>-81.78</v>
      </c>
      <c r="F17" s="3" t="n">
        <v>-10.97718120805369</v>
      </c>
      <c r="G17" s="3" t="n">
        <v>-48.61490904767567</v>
      </c>
    </row>
    <row r="18">
      <c r="A18" t="inlineStr">
        <is>
          <t>DM20</t>
        </is>
      </c>
      <c r="B18" t="n">
        <v>6</v>
      </c>
      <c r="C18" s="2" t="n">
        <v>3285</v>
      </c>
      <c r="D18" s="2" t="n">
        <v>134.88</v>
      </c>
      <c r="E18" s="2" t="n">
        <v>-205.12</v>
      </c>
      <c r="F18" s="3" t="n">
        <v>-6.2441400304414</v>
      </c>
      <c r="G18" s="3" t="n">
        <v>-152.0759193357058</v>
      </c>
    </row>
    <row r="19">
      <c r="A19" t="inlineStr">
        <is>
          <t>DM16</t>
        </is>
      </c>
      <c r="B19" t="n">
        <v>3</v>
      </c>
      <c r="C19" s="2" t="n">
        <v>1200</v>
      </c>
      <c r="D19" s="2" t="n">
        <v>171.26</v>
      </c>
      <c r="E19" s="2" t="n">
        <v>-228.74</v>
      </c>
      <c r="F19" s="3" t="n">
        <v>-19.06166666666667</v>
      </c>
      <c r="G19" s="3" t="n">
        <v>-133.5630036202266</v>
      </c>
    </row>
    <row r="20">
      <c r="A20" t="inlineStr">
        <is>
          <t>PE04</t>
        </is>
      </c>
      <c r="B20" t="n">
        <v>5</v>
      </c>
      <c r="C20" s="2" t="n">
        <v>1210</v>
      </c>
      <c r="D20" s="2" t="n">
        <v>935.7199999999999</v>
      </c>
      <c r="E20" s="2" t="n">
        <v>-274.2800000000001</v>
      </c>
      <c r="F20" s="3" t="n">
        <v>-22.66776859504133</v>
      </c>
      <c r="G20" s="3" t="n">
        <v>-29.31218740648914</v>
      </c>
    </row>
    <row r="21">
      <c r="A21" t="inlineStr">
        <is>
          <t>PD08</t>
        </is>
      </c>
      <c r="B21" t="n">
        <v>8</v>
      </c>
      <c r="C21" s="2" t="n">
        <v>1300</v>
      </c>
      <c r="D21" s="2" t="n">
        <v>829.65</v>
      </c>
      <c r="E21" s="2" t="n">
        <v>-290.35</v>
      </c>
      <c r="F21" s="3" t="n">
        <v>-22.33461538461538</v>
      </c>
      <c r="G21" s="3" t="n">
        <v>-34.99668534924366</v>
      </c>
    </row>
    <row r="22">
      <c r="A22" t="inlineStr">
        <is>
          <t>M06</t>
        </is>
      </c>
      <c r="B22" t="n">
        <v>13</v>
      </c>
      <c r="C22" s="2" t="n">
        <v>1557.132363636364</v>
      </c>
      <c r="D22" s="2" t="n">
        <v>1199.08</v>
      </c>
      <c r="E22" s="2" t="n">
        <v>-292.648</v>
      </c>
      <c r="F22" s="3" t="n">
        <v>-18.79403490892582</v>
      </c>
      <c r="G22" s="3" t="n">
        <v>-24.40604463421957</v>
      </c>
    </row>
    <row r="23">
      <c r="A23" t="inlineStr">
        <is>
          <t>DM25</t>
        </is>
      </c>
      <c r="B23" t="n">
        <v>3</v>
      </c>
      <c r="C23" s="2" t="n">
        <v>1125</v>
      </c>
      <c r="D23" s="2" t="n">
        <v>748.05</v>
      </c>
      <c r="E23" s="2" t="n">
        <v>-376.95</v>
      </c>
      <c r="F23" s="3" t="n">
        <v>-33.50666666666667</v>
      </c>
      <c r="G23" s="3" t="n">
        <v>-50.39101664327251</v>
      </c>
    </row>
    <row r="24">
      <c r="A24" t="inlineStr">
        <is>
          <t>DM15</t>
        </is>
      </c>
      <c r="B24" t="n">
        <v>3</v>
      </c>
      <c r="C24" s="2" t="n">
        <v>1650</v>
      </c>
      <c r="D24" s="2" t="n">
        <v>395.5</v>
      </c>
      <c r="E24" s="2" t="n">
        <v>-404.5</v>
      </c>
      <c r="F24" s="3" t="n">
        <v>-24.51515151515152</v>
      </c>
      <c r="G24" s="3" t="n">
        <v>-102.275600505689</v>
      </c>
    </row>
    <row r="25">
      <c r="A25" t="inlineStr">
        <is>
          <t>DM02</t>
        </is>
      </c>
      <c r="B25" t="n">
        <v>7</v>
      </c>
      <c r="C25" s="2" t="n">
        <v>2135</v>
      </c>
      <c r="D25" s="2" t="n">
        <v>889.67</v>
      </c>
      <c r="E25" s="2" t="n">
        <v>-545.3299999999999</v>
      </c>
      <c r="F25" s="3" t="n">
        <v>-25.5423887587822</v>
      </c>
      <c r="G25" s="3" t="n">
        <v>-61.29576134971393</v>
      </c>
    </row>
    <row r="26">
      <c r="A26" t="inlineStr">
        <is>
          <t>DM22</t>
        </is>
      </c>
      <c r="B26" t="n">
        <v>4</v>
      </c>
      <c r="C26" s="2" t="n">
        <v>2260</v>
      </c>
      <c r="D26" s="2" t="n">
        <v>661.58</v>
      </c>
      <c r="E26" s="2" t="n">
        <v>-778.4200000000001</v>
      </c>
      <c r="F26" s="3" t="n">
        <v>-34.44336283185841</v>
      </c>
      <c r="G26" s="3" t="n">
        <v>-117.660751534206</v>
      </c>
    </row>
    <row r="27">
      <c r="A27" t="inlineStr">
        <is>
          <t>R07</t>
        </is>
      </c>
      <c r="B27" t="n">
        <v>6</v>
      </c>
      <c r="C27" s="2" t="n">
        <v>1555</v>
      </c>
      <c r="D27" s="2" t="n">
        <v>323.33</v>
      </c>
      <c r="E27" s="2" t="n">
        <v>-976.67</v>
      </c>
      <c r="F27" s="3" t="n">
        <v>-62.80836012861736</v>
      </c>
      <c r="G27" s="3" t="n">
        <v>-302.0660006804193</v>
      </c>
    </row>
    <row r="28">
      <c r="A28" t="inlineStr">
        <is>
          <t>PE03</t>
        </is>
      </c>
      <c r="B28" t="n">
        <v>3</v>
      </c>
      <c r="C28" s="2" t="n">
        <v>1775</v>
      </c>
      <c r="D28" s="2" t="n">
        <v>18.4</v>
      </c>
      <c r="E28" s="2" t="n">
        <v>-1181.6</v>
      </c>
      <c r="F28" s="3" t="n">
        <v>-66.56901408450705</v>
      </c>
      <c r="G28" s="3" t="n">
        <v>-6421.739130434783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10" customWidth="1" min="4" max="4"/>
    <col width="12" customWidth="1" min="5" max="5"/>
    <col width="12" customWidth="1" min="6" max="6"/>
    <col width="50" customWidth="1" min="7" max="7"/>
  </cols>
  <sheetData>
    <row r="1">
      <c r="A1" s="4" t="inlineStr">
        <is>
          <t>HCPCS Code</t>
        </is>
      </c>
      <c r="B1" s="4" t="inlineStr">
        <is>
          <t>BOC Category</t>
        </is>
      </c>
      <c r="C1" s="4" t="inlineStr">
        <is>
          <t>Description</t>
        </is>
      </c>
      <c r="D1" s="4" t="inlineStr">
        <is>
          <t>Quantity</t>
        </is>
      </c>
      <c r="E1" s="4" t="inlineStr">
        <is>
          <t>Est Cost</t>
        </is>
      </c>
      <c r="F1" s="4" t="inlineStr">
        <is>
          <t>Total Cost</t>
        </is>
      </c>
      <c r="G1" s="4" t="inlineStr">
        <is>
          <t>Notes</t>
        </is>
      </c>
    </row>
    <row r="2">
      <c r="A2" t="inlineStr">
        <is>
          <t>A4554</t>
        </is>
      </c>
      <c r="B2" t="inlineStr">
        <is>
          <t>PD09</t>
        </is>
      </c>
      <c r="C2" t="inlineStr">
        <is>
          <t>DISPOSABLE UNDERPADS, ALL SIZES</t>
        </is>
      </c>
      <c r="D2" t="n">
        <v>2000</v>
      </c>
      <c r="E2" s="2" t="n">
        <v>0.125</v>
      </c>
      <c r="F2" s="2" t="n">
        <v>250</v>
      </c>
      <c r="G2" t="inlineStr">
        <is>
          <t>High-volume consumable - may have alternative coverage</t>
        </is>
      </c>
    </row>
    <row r="3">
      <c r="A3" t="inlineStr">
        <is>
          <t>A4520</t>
        </is>
      </c>
      <c r="B3" t="inlineStr">
        <is>
          <t>PD09</t>
        </is>
      </c>
      <c r="C3" t="inlineStr">
        <is>
          <t>INCONTINENCE GARMENT, ANY TYPE, (E.G., BRIEF, DIAPER), EACH</t>
        </is>
      </c>
      <c r="D3" t="n">
        <v>3000</v>
      </c>
      <c r="E3" s="2" t="n">
        <v>1.166666666666667</v>
      </c>
      <c r="F3" s="2" t="n">
        <v>3500</v>
      </c>
      <c r="G3" t="inlineStr">
        <is>
          <t>High-volume consumable - may have alternative coverage</t>
        </is>
      </c>
    </row>
    <row r="4">
      <c r="A4" t="inlineStr">
        <is>
          <t>L1820</t>
        </is>
      </c>
      <c r="B4" t="inlineStr">
        <is>
          <t>OR03</t>
        </is>
      </c>
      <c r="C4" t="inlineStr">
        <is>
          <t>Knee orthosis - soft interface</t>
        </is>
      </c>
      <c r="D4" t="n">
        <v>4</v>
      </c>
      <c r="E4" s="2" t="n">
        <v>65</v>
      </c>
      <c r="F4" s="2" t="n">
        <v>260</v>
      </c>
      <c r="G4" t="inlineStr">
        <is>
          <t>Private pay item - no Medicare coverage</t>
        </is>
      </c>
    </row>
    <row r="5">
      <c r="A5" t="inlineStr">
        <is>
          <t>L1810</t>
        </is>
      </c>
      <c r="B5" t="inlineStr">
        <is>
          <t>OR03</t>
        </is>
      </c>
      <c r="C5" t="inlineStr">
        <is>
          <t>Knee orthosis - elastic support</t>
        </is>
      </c>
      <c r="D5" t="n">
        <v>4</v>
      </c>
      <c r="E5" s="2" t="n">
        <v>45</v>
      </c>
      <c r="F5" s="2" t="n">
        <v>180</v>
      </c>
      <c r="G5" t="inlineStr">
        <is>
          <t>Private pay item - no Medicare coverage</t>
        </is>
      </c>
    </row>
    <row r="6">
      <c r="A6" t="inlineStr">
        <is>
          <t>E0198</t>
        </is>
      </c>
      <c r="B6" t="inlineStr">
        <is>
          <t>DM20</t>
        </is>
      </c>
      <c r="C6" t="inlineStr">
        <is>
          <t>Water pressure pad - standard mattress</t>
        </is>
      </c>
      <c r="D6" t="n">
        <v>4</v>
      </c>
      <c r="E6" s="2" t="n">
        <v>110</v>
      </c>
      <c r="F6" s="2" t="n">
        <v>440</v>
      </c>
      <c r="G6" t="inlineStr">
        <is>
          <t>Private pay item - no Medicare coverage</t>
        </is>
      </c>
    </row>
    <row r="7">
      <c r="A7" t="inlineStr">
        <is>
          <t>E0277</t>
        </is>
      </c>
      <c r="B7" t="inlineStr">
        <is>
          <t>DM20</t>
        </is>
      </c>
      <c r="C7" t="inlineStr">
        <is>
          <t>Low air loss mattress</t>
        </is>
      </c>
      <c r="D7" t="n">
        <v>1</v>
      </c>
      <c r="E7" s="2" t="n">
        <v>850</v>
      </c>
      <c r="F7" s="2" t="n">
        <v>850</v>
      </c>
      <c r="G7" t="inlineStr">
        <is>
          <t>Private pay item - no Medicare coverage</t>
        </is>
      </c>
    </row>
    <row r="8">
      <c r="A8" t="inlineStr">
        <is>
          <t>E0197</t>
        </is>
      </c>
      <c r="B8" t="inlineStr">
        <is>
          <t>DM20</t>
        </is>
      </c>
      <c r="C8" t="inlineStr">
        <is>
          <t>Air pressure pad - standard mattress</t>
        </is>
      </c>
      <c r="D8" t="n">
        <v>4</v>
      </c>
      <c r="E8" s="2" t="n">
        <v>95</v>
      </c>
      <c r="F8" s="2" t="n">
        <v>380</v>
      </c>
      <c r="G8" t="inlineStr">
        <is>
          <t>Private pay item - no Medicare coverage</t>
        </is>
      </c>
    </row>
    <row r="9">
      <c r="A9" t="inlineStr">
        <is>
          <t>E0186</t>
        </is>
      </c>
      <c r="B9" t="inlineStr">
        <is>
          <t>DM20</t>
        </is>
      </c>
      <c r="C9" t="inlineStr">
        <is>
          <t>Air pressure mattress</t>
        </is>
      </c>
      <c r="D9" t="n">
        <v>2</v>
      </c>
      <c r="E9" s="2" t="n">
        <v>450</v>
      </c>
      <c r="F9" s="2" t="n">
        <v>900</v>
      </c>
      <c r="G9" t="inlineStr">
        <is>
          <t>Private pay item - no Medicare coverage</t>
        </is>
      </c>
    </row>
    <row r="10">
      <c r="A10" t="inlineStr">
        <is>
          <t>E0196</t>
        </is>
      </c>
      <c r="B10" t="inlineStr">
        <is>
          <t>DM20</t>
        </is>
      </c>
      <c r="C10" t="inlineStr">
        <is>
          <t>Gel pressure pad - standard mattress</t>
        </is>
      </c>
      <c r="D10" t="n">
        <v>3</v>
      </c>
      <c r="E10" s="2" t="n">
        <v>125</v>
      </c>
      <c r="F10" s="2" t="n">
        <v>375</v>
      </c>
      <c r="G10" t="inlineStr">
        <is>
          <t>Private pay item - no Medicare coverage</t>
        </is>
      </c>
    </row>
    <row r="11">
      <c r="A11" t="inlineStr">
        <is>
          <t>E0221</t>
        </is>
      </c>
      <c r="B11" t="inlineStr">
        <is>
          <t>DM11</t>
        </is>
      </c>
      <c r="C11" t="inlineStr">
        <is>
          <t>Infrared heating pad system</t>
        </is>
      </c>
      <c r="D11" t="n">
        <v>3</v>
      </c>
      <c r="E11" s="2" t="n">
        <v>175</v>
      </c>
      <c r="F11" s="2" t="n">
        <v>525</v>
      </c>
      <c r="G11" t="inlineStr">
        <is>
          <t>Private pay item - no Medicare coverage</t>
        </is>
      </c>
    </row>
    <row r="12">
      <c r="A12" t="inlineStr">
        <is>
          <t>A4639</t>
        </is>
      </c>
      <c r="B12" t="inlineStr">
        <is>
          <t>DM11</t>
        </is>
      </c>
      <c r="C12" t="inlineStr">
        <is>
          <t>Infrared pad replacement</t>
        </is>
      </c>
      <c r="D12" t="n">
        <v>10</v>
      </c>
      <c r="E12" s="2" t="n">
        <v>25</v>
      </c>
      <c r="F12" s="2" t="n">
        <v>250</v>
      </c>
      <c r="G12" t="inlineStr">
        <is>
          <t>Private pay item - no Medicare coverage</t>
        </is>
      </c>
    </row>
    <row r="13">
      <c r="A13" t="inlineStr">
        <is>
          <t>E0236</t>
        </is>
      </c>
      <c r="B13" t="inlineStr">
        <is>
          <t>DM08</t>
        </is>
      </c>
      <c r="C13" t="inlineStr">
        <is>
          <t>Pump for water circulating pad</t>
        </is>
      </c>
      <c r="D13" t="n">
        <v>10</v>
      </c>
      <c r="E13" s="2" t="n">
        <v>45</v>
      </c>
      <c r="F13" s="2" t="n">
        <v>450</v>
      </c>
      <c r="G13" t="inlineStr">
        <is>
          <t>Private pay item - no Medicare coverage</t>
        </is>
      </c>
    </row>
    <row r="14">
      <c r="A14" t="inlineStr">
        <is>
          <t>E0230</t>
        </is>
      </c>
      <c r="B14" t="inlineStr">
        <is>
          <t>DM08</t>
        </is>
      </c>
      <c r="C14" t="inlineStr">
        <is>
          <t>Ice cap or collar</t>
        </is>
      </c>
      <c r="D14" t="n">
        <v>10</v>
      </c>
      <c r="E14" s="2" t="n">
        <v>15</v>
      </c>
      <c r="F14" s="2" t="n">
        <v>150</v>
      </c>
      <c r="G14" t="inlineStr">
        <is>
          <t>Private pay item - no Medicare coverage</t>
        </is>
      </c>
    </row>
    <row r="15">
      <c r="A15" t="inlineStr">
        <is>
          <t>E0235</t>
        </is>
      </c>
      <c r="B15" t="inlineStr">
        <is>
          <t>DM08</t>
        </is>
      </c>
      <c r="C15" t="inlineStr">
        <is>
          <t>Paraffin bath unit</t>
        </is>
      </c>
      <c r="D15" t="n">
        <v>1</v>
      </c>
      <c r="E15" s="2" t="n">
        <v>185</v>
      </c>
      <c r="F15" s="2" t="n">
        <v>185</v>
      </c>
      <c r="G15" t="inlineStr">
        <is>
          <t>Private pay item - no Medicare coverage</t>
        </is>
      </c>
    </row>
    <row r="16">
      <c r="A16" t="inlineStr">
        <is>
          <t>E0744</t>
        </is>
      </c>
      <c r="B16" t="inlineStr">
        <is>
          <t>DM16</t>
        </is>
      </c>
      <c r="C16" t="inlineStr">
        <is>
          <t>NMES device - orofacial</t>
        </is>
      </c>
      <c r="D16" t="n">
        <v>2</v>
      </c>
      <c r="E16" s="2" t="n">
        <v>250</v>
      </c>
      <c r="F16" s="2" t="n">
        <v>500</v>
      </c>
      <c r="G16" t="inlineStr">
        <is>
          <t>Private pay item - no Medicare coverage</t>
        </is>
      </c>
    </row>
    <row r="17">
      <c r="A17" t="inlineStr">
        <is>
          <t>E0745</t>
        </is>
      </c>
      <c r="B17" t="inlineStr">
        <is>
          <t>DM16</t>
        </is>
      </c>
      <c r="C17" t="inlineStr">
        <is>
          <t>NMES device - other</t>
        </is>
      </c>
      <c r="D17" t="n">
        <v>1</v>
      </c>
      <c r="E17" s="2" t="n">
        <v>300</v>
      </c>
      <c r="F17" s="2" t="n">
        <v>300</v>
      </c>
      <c r="G17" t="inlineStr">
        <is>
          <t>Private pay item - no Medicare coverage</t>
        </is>
      </c>
    </row>
    <row r="18">
      <c r="A18" t="inlineStr">
        <is>
          <t>A4595</t>
        </is>
      </c>
      <c r="B18" t="inlineStr">
        <is>
          <t>DM22</t>
        </is>
      </c>
      <c r="C18" t="inlineStr">
        <is>
          <t>TENS electrode pads</t>
        </is>
      </c>
      <c r="D18" t="n">
        <v>80</v>
      </c>
      <c r="E18" s="2" t="n">
        <v>8</v>
      </c>
      <c r="F18" s="2" t="n">
        <v>640</v>
      </c>
      <c r="G18" t="inlineStr">
        <is>
          <t>Private pay item - no Medicare coverage</t>
        </is>
      </c>
    </row>
    <row r="19">
      <c r="A19" t="inlineStr">
        <is>
          <t>E1011</t>
        </is>
      </c>
      <c r="B19" t="inlineStr">
        <is>
          <t>M06A</t>
        </is>
      </c>
      <c r="C19" t="inlineStr">
        <is>
          <t>MODIFICATION TO PEDIATRIC SIZE WHEELCHAIR, WIDTH ADJUSTMENT PACKAGE (NOT TO BE DISPENSED WITH INITIAL CHAIR)</t>
        </is>
      </c>
      <c r="D19" t="n">
        <v>2</v>
      </c>
      <c r="E19" s="2" t="n">
        <v>37.65557142857143</v>
      </c>
      <c r="F19" s="2" t="n">
        <v>75.31114285714285</v>
      </c>
      <c r="G19" t="inlineStr">
        <is>
          <t>Private pay item - no Medicare coverage</t>
        </is>
      </c>
    </row>
    <row r="20">
      <c r="A20" t="inlineStr">
        <is>
          <t>E2230</t>
        </is>
      </c>
      <c r="B20" t="inlineStr">
        <is>
          <t>M06A</t>
        </is>
      </c>
      <c r="C20" t="inlineStr">
        <is>
          <t>MANUAL WHEELCHAIR ACCESSORY, MANUAL STANDING SYSTEM</t>
        </is>
      </c>
      <c r="D20" t="n">
        <v>2</v>
      </c>
      <c r="E20" s="2" t="n">
        <v>37.65557142857143</v>
      </c>
      <c r="F20" s="2" t="n">
        <v>75.31114285714285</v>
      </c>
      <c r="G20" t="inlineStr">
        <is>
          <t>Private pay item - no Medicare coverage</t>
        </is>
      </c>
    </row>
    <row r="21">
      <c r="A21" t="inlineStr">
        <is>
          <t>A6561</t>
        </is>
      </c>
      <c r="B21" t="inlineStr">
        <is>
          <t>S04</t>
        </is>
      </c>
      <c r="C21" t="inlineStr">
        <is>
          <t>GRADIENT COMPRESSION STOCKING, FULL LENGTH/CHAP STYLE, 40 MMHG OR GREATER, CUSTOM, EACH</t>
        </is>
      </c>
      <c r="D21" t="n">
        <v>2</v>
      </c>
      <c r="E21" s="2" t="n">
        <v>156.5327142857143</v>
      </c>
      <c r="F21" s="2" t="n">
        <v>313.0654285714285</v>
      </c>
      <c r="G21" t="inlineStr">
        <is>
          <t>High-volume consumable - may have alternative coverage</t>
        </is>
      </c>
    </row>
    <row r="22">
      <c r="A22" t="inlineStr">
        <is>
          <t>A6213</t>
        </is>
      </c>
      <c r="B22" t="inlineStr">
        <is>
          <t>S01</t>
        </is>
      </c>
      <c r="C22" t="inlineStr">
        <is>
          <t>FOAM DRESSING, WOUND COVER, STERILE, PAD SIZE MORE THAN 16 SQ. IN. BUT LESS THAN OR EQUAL TO 48 SQ. IN., WITH ANY SIZE ADHESIVE BORDER, EACH DRESSING</t>
        </is>
      </c>
      <c r="D22" t="n">
        <v>2</v>
      </c>
      <c r="E22" s="2" t="n">
        <v>14.31505617977528</v>
      </c>
      <c r="F22" s="2" t="n">
        <v>28.63011235955056</v>
      </c>
      <c r="G22" t="inlineStr">
        <is>
          <t>Private pay item - no Medicare coverage</t>
        </is>
      </c>
    </row>
    <row r="23">
      <c r="A23" t="inlineStr">
        <is>
          <t>A6228</t>
        </is>
      </c>
      <c r="B23" t="inlineStr">
        <is>
          <t>S01</t>
        </is>
      </c>
      <c r="C23" t="inlineStr">
        <is>
          <t>GAUZE, IMPREGNATED, WATER OR NORMAL SALINE, STERILE, PAD SIZE 16 SQ. IN. OR LESS, WITHOUT ADHESIVE BORDER, EACH DRESSING</t>
        </is>
      </c>
      <c r="D23" t="n">
        <v>2</v>
      </c>
      <c r="E23" s="2" t="n">
        <v>14.31505617977528</v>
      </c>
      <c r="F23" s="2" t="n">
        <v>28.63011235955056</v>
      </c>
      <c r="G23" t="inlineStr">
        <is>
          <t>Private pay item - no Medicare coverage</t>
        </is>
      </c>
    </row>
    <row r="24">
      <c r="A24" t="inlineStr">
        <is>
          <t>A6230</t>
        </is>
      </c>
      <c r="B24" t="inlineStr">
        <is>
          <t>S01</t>
        </is>
      </c>
      <c r="C24" t="inlineStr">
        <is>
          <t>GAUZE, IMPREGNATED, WATER OR NORMAL SALINE, STERILE, PAD SIZE MORE THAN 48 SQ. IN., WITHOUT ADHESIVE BORDER, EACH DRESSING</t>
        </is>
      </c>
      <c r="D24" t="n">
        <v>2</v>
      </c>
      <c r="E24" s="2" t="n">
        <v>14.31505617977528</v>
      </c>
      <c r="F24" s="2" t="n">
        <v>28.63011235955056</v>
      </c>
      <c r="G24" t="inlineStr">
        <is>
          <t>Private pay item - no Medicare coverage</t>
        </is>
      </c>
    </row>
    <row r="25">
      <c r="A25" t="inlineStr">
        <is>
          <t>A4557</t>
        </is>
      </c>
      <c r="B25" t="inlineStr">
        <is>
          <t>DM22</t>
        </is>
      </c>
      <c r="C25" t="inlineStr">
        <is>
          <t>TENS lead wires</t>
        </is>
      </c>
      <c r="D25" t="n">
        <v>15</v>
      </c>
      <c r="E25" s="2" t="n">
        <v>12</v>
      </c>
      <c r="F25" s="2" t="n">
        <v>180</v>
      </c>
      <c r="G25" t="inlineStr">
        <is>
          <t>Private pay item - no Medicare coverage</t>
        </is>
      </c>
    </row>
    <row r="26">
      <c r="A26" t="inlineStr">
        <is>
          <t>K0108</t>
        </is>
      </c>
      <c r="B26" t="inlineStr">
        <is>
          <t>M06A</t>
        </is>
      </c>
      <c r="C26" t="inlineStr">
        <is>
          <t>WHEELCHAIR COMPONENT OR ACCESSORY, NOT OTHERWISE SPECIFIED</t>
        </is>
      </c>
      <c r="D26" t="n">
        <v>2</v>
      </c>
      <c r="E26" s="2" t="n">
        <v>37.65557142857143</v>
      </c>
      <c r="F26" s="2" t="n">
        <v>75.31114285714285</v>
      </c>
      <c r="G26" t="inlineStr">
        <is>
          <t>Private pay item - no Medicare coverage</t>
        </is>
      </c>
    </row>
    <row r="27">
      <c r="A27" t="inlineStr">
        <is>
          <t>E1017</t>
        </is>
      </c>
      <c r="B27" t="inlineStr">
        <is>
          <t>M06A</t>
        </is>
      </c>
      <c r="C27" t="inlineStr">
        <is>
          <t>HEAVY DUTY SHOCK ABSORBER FOR HEAVY DUTY OR EXTRA HEAVY DUTY MANUAL WHEELCHAIR, EACH</t>
        </is>
      </c>
      <c r="D27" t="n">
        <v>2</v>
      </c>
      <c r="E27" s="2" t="n">
        <v>37.65557142857143</v>
      </c>
      <c r="F27" s="2" t="n">
        <v>75.31114285714285</v>
      </c>
      <c r="G27" t="inlineStr">
        <is>
          <t>Private pay item - no Medicare coverage</t>
        </is>
      </c>
    </row>
    <row r="28">
      <c r="A28" t="inlineStr">
        <is>
          <t>E0165</t>
        </is>
      </c>
      <c r="B28" t="inlineStr">
        <is>
          <t>DM02</t>
        </is>
      </c>
      <c r="C28" t="inlineStr">
        <is>
          <t>Commode chair - detachable arms</t>
        </is>
      </c>
      <c r="D28" t="n">
        <v>4</v>
      </c>
      <c r="E28" s="2" t="n">
        <v>175</v>
      </c>
      <c r="F28" s="2" t="n">
        <v>700</v>
      </c>
      <c r="G28" t="inlineStr">
        <is>
          <t>Private pay item - no Medicare coverage</t>
        </is>
      </c>
    </row>
    <row r="29">
      <c r="A29" t="inlineStr">
        <is>
          <t>E2001</t>
        </is>
      </c>
      <c r="B29" t="inlineStr">
        <is>
          <t>DM29</t>
        </is>
      </c>
      <c r="C29" t="inlineStr">
        <is>
          <t>Suction pump - portable</t>
        </is>
      </c>
      <c r="D29" t="n">
        <v>3</v>
      </c>
      <c r="E29" s="2" t="n">
        <v>350</v>
      </c>
      <c r="F29" s="2" t="n">
        <v>1050</v>
      </c>
      <c r="G29" t="inlineStr">
        <is>
          <t>Private pay item - no Medicare coverage</t>
        </is>
      </c>
    </row>
    <row r="30">
      <c r="A30" t="inlineStr">
        <is>
          <t>E0572</t>
        </is>
      </c>
      <c r="B30" t="inlineStr">
        <is>
          <t>R07</t>
        </is>
      </c>
      <c r="C30" t="inlineStr">
        <is>
          <t>Nebulizer - aerosol compressor</t>
        </is>
      </c>
      <c r="D30" t="n">
        <v>3</v>
      </c>
      <c r="E30" s="2" t="n">
        <v>85</v>
      </c>
      <c r="F30" s="2" t="n">
        <v>255</v>
      </c>
      <c r="G30" t="inlineStr">
        <is>
          <t>Private pay item - no Medicare coverage</t>
        </is>
      </c>
    </row>
    <row r="31">
      <c r="A31" t="inlineStr">
        <is>
          <t>L3702</t>
        </is>
      </c>
      <c r="B31" t="inlineStr">
        <is>
          <t>OR03</t>
        </is>
      </c>
      <c r="C31" t="inlineStr">
        <is>
          <t>Elbow orthosis - without joints</t>
        </is>
      </c>
      <c r="D31" t="n">
        <v>3</v>
      </c>
      <c r="E31" s="2" t="n">
        <v>40</v>
      </c>
      <c r="F31" s="2" t="n">
        <v>120</v>
      </c>
      <c r="G31" t="inlineStr">
        <is>
          <t>Private pay item - no Medicare coverage</t>
        </is>
      </c>
    </row>
    <row r="32">
      <c r="A32" t="inlineStr">
        <is>
          <t>B4160</t>
        </is>
      </c>
      <c r="B32" t="inlineStr">
        <is>
          <t>PE03</t>
        </is>
      </c>
      <c r="C32" t="inlineStr">
        <is>
          <t>Enteral formula - pediatric</t>
        </is>
      </c>
      <c r="D32" t="n">
        <v>10</v>
      </c>
      <c r="E32" s="2" t="n">
        <v>35</v>
      </c>
      <c r="F32" s="2" t="n">
        <v>350</v>
      </c>
      <c r="G32" t="inlineStr">
        <is>
          <t>Private pay item - no Medicare coverage</t>
        </is>
      </c>
    </row>
    <row r="33">
      <c r="A33" t="inlineStr">
        <is>
          <t>B4161</t>
        </is>
      </c>
      <c r="B33" t="inlineStr">
        <is>
          <t>PE03</t>
        </is>
      </c>
      <c r="C33" t="inlineStr">
        <is>
          <t>Enteral formula - specialized infant</t>
        </is>
      </c>
      <c r="D33" t="n">
        <v>5</v>
      </c>
      <c r="E33" s="2" t="n">
        <v>45</v>
      </c>
      <c r="F33" s="2" t="n">
        <v>225</v>
      </c>
      <c r="G33" t="inlineStr">
        <is>
          <t>Private pay item - no Medicare coverage</t>
        </is>
      </c>
    </row>
    <row r="34">
      <c r="A34" t="inlineStr">
        <is>
          <t>E0781</t>
        </is>
      </c>
      <c r="B34" t="inlineStr">
        <is>
          <t>DM12</t>
        </is>
      </c>
      <c r="C34" t="inlineStr">
        <is>
          <t>Ambulatory infusion pump</t>
        </is>
      </c>
      <c r="D34" t="n">
        <v>2</v>
      </c>
      <c r="E34" s="2" t="n">
        <v>450</v>
      </c>
      <c r="F34" s="2" t="n">
        <v>900</v>
      </c>
      <c r="G34" t="inlineStr">
        <is>
          <t>Private pay item - no Medicare coverage</t>
        </is>
      </c>
    </row>
    <row r="35">
      <c r="A35" t="inlineStr">
        <is>
          <t>E0779</t>
        </is>
      </c>
      <c r="B35" t="inlineStr">
        <is>
          <t>DM12</t>
        </is>
      </c>
      <c r="C35" t="inlineStr">
        <is>
          <t>Stationary infusion pump</t>
        </is>
      </c>
      <c r="D35" t="n">
        <v>1</v>
      </c>
      <c r="E35" s="2" t="n">
        <v>650</v>
      </c>
      <c r="F35" s="2" t="n">
        <v>650</v>
      </c>
      <c r="G35" t="inlineStr">
        <is>
          <t>Private pay item - no Medicare coverage</t>
        </is>
      </c>
    </row>
    <row r="36">
      <c r="A36" t="inlineStr">
        <is>
          <t>A4305</t>
        </is>
      </c>
      <c r="B36" t="inlineStr">
        <is>
          <t>DM12</t>
        </is>
      </c>
      <c r="C36" t="inlineStr">
        <is>
          <t>Infusion pump supply - drug cassette</t>
        </is>
      </c>
      <c r="D36" t="n">
        <v>10</v>
      </c>
      <c r="E36" s="2" t="n">
        <v>25</v>
      </c>
      <c r="F36" s="2" t="n">
        <v>250</v>
      </c>
      <c r="G36" t="inlineStr">
        <is>
          <t>Private pay item - no Medicare coverage</t>
        </is>
      </c>
    </row>
    <row r="37">
      <c r="A37" t="inlineStr">
        <is>
          <t>A4306</t>
        </is>
      </c>
      <c r="B37" t="inlineStr">
        <is>
          <t>DM12</t>
        </is>
      </c>
      <c r="C37" t="inlineStr">
        <is>
          <t>Infusion pump supply - administration set</t>
        </is>
      </c>
      <c r="D37" t="n">
        <v>10</v>
      </c>
      <c r="E37" s="2" t="n">
        <v>15</v>
      </c>
      <c r="F37" s="2" t="n">
        <v>150</v>
      </c>
      <c r="G37" t="inlineStr">
        <is>
          <t>Private pay item - no Medicare coverage</t>
        </is>
      </c>
    </row>
    <row r="38">
      <c r="A38" t="inlineStr">
        <is>
          <t>E2402</t>
        </is>
      </c>
      <c r="B38" t="inlineStr">
        <is>
          <t>DM15</t>
        </is>
      </c>
      <c r="C38" t="inlineStr">
        <is>
          <t>Negative pressure wound therapy pump</t>
        </is>
      </c>
      <c r="D38" t="n">
        <v>1</v>
      </c>
      <c r="E38" s="2" t="n">
        <v>850</v>
      </c>
      <c r="F38" s="2" t="n">
        <v>850</v>
      </c>
      <c r="G38" t="inlineStr">
        <is>
          <t>Private pay item - no Medicare coverage</t>
        </is>
      </c>
    </row>
    <row r="39">
      <c r="A39" t="inlineStr">
        <is>
          <t>E0855</t>
        </is>
      </c>
      <c r="B39" t="inlineStr">
        <is>
          <t>DM21</t>
        </is>
      </c>
      <c r="C39" t="inlineStr">
        <is>
          <t>Cervical traction equipment</t>
        </is>
      </c>
      <c r="D39" t="n">
        <v>2</v>
      </c>
      <c r="E39" s="2" t="n">
        <v>185</v>
      </c>
      <c r="F39" s="2" t="n">
        <v>370</v>
      </c>
      <c r="G39" t="inlineStr">
        <is>
          <t>Private pay item - no Medicare coverage</t>
        </is>
      </c>
    </row>
    <row r="40">
      <c r="A40" t="inlineStr">
        <is>
          <t>E0830</t>
        </is>
      </c>
      <c r="B40" t="inlineStr">
        <is>
          <t>DM21</t>
        </is>
      </c>
      <c r="C40" t="inlineStr">
        <is>
          <t>Ambulatory traction device</t>
        </is>
      </c>
      <c r="D40" t="n">
        <v>1</v>
      </c>
      <c r="E40" s="2" t="n">
        <v>125</v>
      </c>
      <c r="F40" s="2" t="n">
        <v>125</v>
      </c>
      <c r="G40" t="inlineStr">
        <is>
          <t>Private pay item - no Medicare coverage</t>
        </is>
      </c>
    </row>
    <row r="41">
      <c r="A41" t="inlineStr">
        <is>
          <t>A4483</t>
        </is>
      </c>
      <c r="B41" t="inlineStr">
        <is>
          <t>PD08</t>
        </is>
      </c>
      <c r="C41" t="inlineStr">
        <is>
          <t>Tracheostomy moisture exchanger</t>
        </is>
      </c>
      <c r="D41" t="n">
        <v>15</v>
      </c>
      <c r="E41" s="2" t="n">
        <v>12</v>
      </c>
      <c r="F41" s="2" t="n">
        <v>180</v>
      </c>
      <c r="G41" t="inlineStr">
        <is>
          <t>Private pay item - no Medicare coverage</t>
        </is>
      </c>
    </row>
    <row r="42">
      <c r="A42" t="inlineStr">
        <is>
          <t>E1229</t>
        </is>
      </c>
      <c r="B42" t="inlineStr">
        <is>
          <t>M06</t>
        </is>
      </c>
      <c r="C42" t="inlineStr">
        <is>
          <t>WHEELCHAIR, PEDIATRIC SIZE, NOT OTHERWISE SPECIFIED</t>
        </is>
      </c>
      <c r="D42" t="n">
        <v>1</v>
      </c>
      <c r="E42" s="2" t="n">
        <v>32.70218181818181</v>
      </c>
      <c r="F42" s="2" t="n">
        <v>32.70218181818181</v>
      </c>
      <c r="G42" t="inlineStr">
        <is>
          <t>Private pay item - no Medicare coverage</t>
        </is>
      </c>
    </row>
    <row r="43">
      <c r="A43" t="inlineStr">
        <is>
          <t>A9900</t>
        </is>
      </c>
      <c r="B43" t="inlineStr">
        <is>
          <t>M05</t>
        </is>
      </c>
      <c r="C43" t="inlineStr">
        <is>
          <t>MISCELLANEOUS DME SUPPLY, ACCESSORY, AND/OR SERVICE COMPONENT OF ANOTHER HCPCS CODE</t>
        </is>
      </c>
      <c r="D43" t="n">
        <v>1</v>
      </c>
      <c r="E43" s="2" t="n">
        <v>40.22362500000001</v>
      </c>
      <c r="F43" s="2" t="n">
        <v>40.22362500000001</v>
      </c>
      <c r="G43" t="inlineStr">
        <is>
          <t>Private pay item - no Medicare coverage</t>
        </is>
      </c>
    </row>
    <row r="44">
      <c r="A44" t="inlineStr">
        <is>
          <t>K0008</t>
        </is>
      </c>
      <c r="B44" t="inlineStr">
        <is>
          <t>M06</t>
        </is>
      </c>
      <c r="C44" t="inlineStr">
        <is>
          <t>CUSTOM MANUAL WHEELCHAIR/BASE</t>
        </is>
      </c>
      <c r="D44" t="n">
        <v>1</v>
      </c>
      <c r="E44" s="2" t="n">
        <v>32.70218181818181</v>
      </c>
      <c r="F44" s="2" t="n">
        <v>32.70218181818181</v>
      </c>
      <c r="G44" t="inlineStr">
        <is>
          <t>Private pay item - no Medicare coverage</t>
        </is>
      </c>
    </row>
    <row r="45">
      <c r="A45" t="inlineStr">
        <is>
          <t>E0118</t>
        </is>
      </c>
      <c r="B45" t="inlineStr">
        <is>
          <t>M01</t>
        </is>
      </c>
      <c r="C45" t="inlineStr">
        <is>
          <t>CRUTCH SUBSTITUTE, LOWER LEG PLATFORM, WITH OR WITHOUT WHEELS, EACH</t>
        </is>
      </c>
      <c r="D45" t="n">
        <v>1</v>
      </c>
      <c r="E45" s="2" t="n">
        <v>27.22846153846153</v>
      </c>
      <c r="F45" s="2" t="n">
        <v>27.22846153846153</v>
      </c>
      <c r="G45" t="inlineStr">
        <is>
          <t>Private pay item - no Medicare coverage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10" customWidth="1" min="4" max="4"/>
    <col width="12" customWidth="1" min="5" max="5"/>
    <col width="12" customWidth="1" min="6" max="6"/>
    <col width="25" customWidth="1" min="7" max="7"/>
    <col width="10" customWidth="1" min="8" max="8"/>
  </cols>
  <sheetData>
    <row r="1">
      <c r="A1" s="4" t="inlineStr">
        <is>
          <t>HCPCS Code</t>
        </is>
      </c>
      <c r="B1" s="4" t="inlineStr">
        <is>
          <t>BOC Category</t>
        </is>
      </c>
      <c r="C1" s="4" t="inlineStr">
        <is>
          <t>Description</t>
        </is>
      </c>
      <c r="D1" s="4" t="inlineStr">
        <is>
          <t>Quantity</t>
        </is>
      </c>
      <c r="E1" s="4" t="inlineStr">
        <is>
          <t>Est Cost</t>
        </is>
      </c>
      <c r="F1" s="4" t="inlineStr">
        <is>
          <t>Total Cost</t>
        </is>
      </c>
      <c r="G1" s="4" t="inlineStr">
        <is>
          <t>Customer</t>
        </is>
      </c>
      <c r="H1" s="4" t="inlineStr">
        <is>
          <t>Priority</t>
        </is>
      </c>
    </row>
    <row r="2">
      <c r="A2" t="inlineStr">
        <is>
          <t>L4361</t>
        </is>
      </c>
      <c r="B2" t="inlineStr">
        <is>
          <t>OR03</t>
        </is>
      </c>
      <c r="C2" t="inlineStr">
        <is>
          <t>Walking boot - pneumatic/vacuum (CAM WALKER)</t>
        </is>
      </c>
      <c r="D2" t="n">
        <v>6</v>
      </c>
      <c r="E2" s="2" t="n">
        <v>70</v>
      </c>
      <c r="F2" s="2" t="n">
        <v>420</v>
      </c>
      <c r="G2" t="inlineStr">
        <is>
          <t>DR_NAS</t>
        </is>
      </c>
      <c r="H2" t="n">
        <v>100</v>
      </c>
    </row>
    <row r="3">
      <c r="A3" t="inlineStr">
        <is>
          <t>E0607</t>
        </is>
      </c>
      <c r="B3" t="inlineStr">
        <is>
          <t>DM06</t>
        </is>
      </c>
      <c r="C3" t="inlineStr">
        <is>
          <t>HOME BLOOD GLUCOSE MONITOR</t>
        </is>
      </c>
      <c r="D3" t="n">
        <v>25</v>
      </c>
      <c r="E3" s="2" t="n">
        <v>100</v>
      </c>
      <c r="F3" s="2" t="n">
        <v>2500</v>
      </c>
      <c r="G3" t="inlineStr">
        <is>
          <t>MOYHINOR, WALTERS</t>
        </is>
      </c>
      <c r="H3" t="n">
        <v>90</v>
      </c>
    </row>
    <row r="4">
      <c r="A4" t="inlineStr">
        <is>
          <t>L4370</t>
        </is>
      </c>
      <c r="B4" t="inlineStr">
        <is>
          <t>OR03</t>
        </is>
      </c>
      <c r="C4" t="inlineStr">
        <is>
          <t>Pneumatic full leg splint</t>
        </is>
      </c>
      <c r="D4" t="n">
        <v>2</v>
      </c>
      <c r="E4" s="2" t="n">
        <v>110</v>
      </c>
      <c r="F4" s="2" t="n">
        <v>220</v>
      </c>
      <c r="G4" t="inlineStr">
        <is>
          <t>DR_NAS</t>
        </is>
      </c>
      <c r="H4" t="n">
        <v>80</v>
      </c>
    </row>
    <row r="5">
      <c r="A5" t="inlineStr">
        <is>
          <t>L1906</t>
        </is>
      </c>
      <c r="B5" t="inlineStr">
        <is>
          <t>OR03</t>
        </is>
      </c>
      <c r="C5" t="inlineStr">
        <is>
          <t>AFO - multiligamentous ankle support</t>
        </is>
      </c>
      <c r="D5" t="n">
        <v>6</v>
      </c>
      <c r="E5" s="2" t="n">
        <v>80</v>
      </c>
      <c r="F5" s="2" t="n">
        <v>480</v>
      </c>
      <c r="G5" t="inlineStr">
        <is>
          <t>DR_NAS</t>
        </is>
      </c>
      <c r="H5" t="n">
        <v>80</v>
      </c>
    </row>
    <row r="6">
      <c r="A6" t="inlineStr">
        <is>
          <t>L4387</t>
        </is>
      </c>
      <c r="B6" t="inlineStr">
        <is>
          <t>OR03</t>
        </is>
      </c>
      <c r="C6" t="inlineStr">
        <is>
          <t>Walking boot - non-pneumatic</t>
        </is>
      </c>
      <c r="D6" t="n">
        <v>2</v>
      </c>
      <c r="E6" s="2" t="n">
        <v>135</v>
      </c>
      <c r="F6" s="2" t="n">
        <v>270</v>
      </c>
      <c r="G6" t="inlineStr">
        <is>
          <t>DR_NAS</t>
        </is>
      </c>
      <c r="H6" t="n">
        <v>80</v>
      </c>
    </row>
    <row r="7">
      <c r="A7" t="inlineStr">
        <is>
          <t>L1902</t>
        </is>
      </c>
      <c r="B7" t="inlineStr">
        <is>
          <t>OR03</t>
        </is>
      </c>
      <c r="C7" t="inlineStr">
        <is>
          <t>ANKLE ORTHOSIS, ANKLE GAUNTLET OR SIMILAR, WITH OR WITHOUT JOINTS, PREFABRICATED, OFF-THE-SHELF</t>
        </is>
      </c>
      <c r="D7" t="n">
        <v>20</v>
      </c>
      <c r="E7" s="2" t="n">
        <v>40</v>
      </c>
      <c r="F7" s="2" t="n">
        <v>800</v>
      </c>
      <c r="G7" t="inlineStr">
        <is>
          <t>DR_NAS</t>
        </is>
      </c>
      <c r="H7" t="n">
        <v>80</v>
      </c>
    </row>
    <row r="8">
      <c r="A8" t="inlineStr">
        <is>
          <t>L4350</t>
        </is>
      </c>
      <c r="B8" t="inlineStr">
        <is>
          <t>OR03</t>
        </is>
      </c>
      <c r="C8" t="inlineStr">
        <is>
          <t>Ankle control orthosis, stirrup style</t>
        </is>
      </c>
      <c r="D8" t="n">
        <v>2</v>
      </c>
      <c r="E8" s="2" t="n">
        <v>80</v>
      </c>
      <c r="F8" s="2" t="n">
        <v>160</v>
      </c>
      <c r="G8" t="inlineStr">
        <is>
          <t>DR_NAS</t>
        </is>
      </c>
      <c r="H8" t="n">
        <v>80</v>
      </c>
    </row>
    <row r="9">
      <c r="A9" t="inlineStr">
        <is>
          <t>E2103</t>
        </is>
      </c>
      <c r="B9" t="inlineStr">
        <is>
          <t>DM06</t>
        </is>
      </c>
      <c r="C9" t="inlineStr">
        <is>
          <t>Freestyle Libre CGM Reader</t>
        </is>
      </c>
      <c r="D9" t="n">
        <v>5</v>
      </c>
      <c r="E9" s="2" t="n">
        <v>400</v>
      </c>
      <c r="F9" s="2" t="n">
        <v>2000</v>
      </c>
      <c r="G9" t="inlineStr">
        <is>
          <t>MOYHINOR (CGM_STRATEGY)</t>
        </is>
      </c>
      <c r="H9" t="n">
        <v>70</v>
      </c>
    </row>
    <row r="10">
      <c r="A10" t="inlineStr">
        <is>
          <t>E2103</t>
        </is>
      </c>
      <c r="B10" t="inlineStr">
        <is>
          <t>DM06</t>
        </is>
      </c>
      <c r="C10" t="inlineStr">
        <is>
          <t>Dexcom G7 CGM Receiver</t>
        </is>
      </c>
      <c r="D10" t="n">
        <v>5</v>
      </c>
      <c r="E10" s="2" t="n">
        <v>400</v>
      </c>
      <c r="F10" s="2" t="n">
        <v>2000</v>
      </c>
      <c r="G10" t="inlineStr">
        <is>
          <t>MOYHINOR (CGM_STRATEGY)</t>
        </is>
      </c>
      <c r="H10" t="n">
        <v>70</v>
      </c>
    </row>
    <row r="11">
      <c r="A11" t="inlineStr">
        <is>
          <t>E0130</t>
        </is>
      </c>
      <c r="B11" t="inlineStr">
        <is>
          <t>M05</t>
        </is>
      </c>
      <c r="C11" t="inlineStr">
        <is>
          <t>WALKER, RIGID (PICKUP), ADJUSTABLE OR FIXED HEIGHT</t>
        </is>
      </c>
      <c r="D11" t="n">
        <v>5</v>
      </c>
      <c r="E11" s="2" t="n">
        <v>100</v>
      </c>
      <c r="F11" s="2" t="n">
        <v>500</v>
      </c>
      <c r="G11" t="inlineStr">
        <is>
          <t>RAMBOM</t>
        </is>
      </c>
      <c r="H11" t="n">
        <v>70</v>
      </c>
    </row>
    <row r="12">
      <c r="A12" t="inlineStr">
        <is>
          <t>E0143</t>
        </is>
      </c>
      <c r="B12" t="inlineStr">
        <is>
          <t>M05</t>
        </is>
      </c>
      <c r="C12" t="inlineStr">
        <is>
          <t>WALKER, FOLDING, WHEELED, ADJUSTABLE OR FIXED HEIGHT</t>
        </is>
      </c>
      <c r="D12" t="n">
        <v>3</v>
      </c>
      <c r="E12" s="2" t="n">
        <v>200</v>
      </c>
      <c r="F12" s="2" t="n">
        <v>600</v>
      </c>
      <c r="G12" t="inlineStr">
        <is>
          <t>RAMBOM</t>
        </is>
      </c>
      <c r="H12" t="n">
        <v>70</v>
      </c>
    </row>
    <row r="13">
      <c r="A13" t="inlineStr">
        <is>
          <t>A4239</t>
        </is>
      </c>
      <c r="B13" t="inlineStr">
        <is>
          <t>DM06</t>
        </is>
      </c>
      <c r="C13" t="inlineStr">
        <is>
          <t>Freestyle Libre CGM Sensors, 30-day</t>
        </is>
      </c>
      <c r="D13" t="n">
        <v>10</v>
      </c>
      <c r="E13" s="2" t="n">
        <v>70</v>
      </c>
      <c r="F13" s="2" t="n">
        <v>700</v>
      </c>
      <c r="G13" t="inlineStr">
        <is>
          <t>MOYHINOR (CGM_STRATEGY)</t>
        </is>
      </c>
      <c r="H13" t="n">
        <v>70</v>
      </c>
    </row>
    <row r="14">
      <c r="A14" t="inlineStr">
        <is>
          <t>A4239</t>
        </is>
      </c>
      <c r="B14" t="inlineStr">
        <is>
          <t>DM06</t>
        </is>
      </c>
      <c r="C14" t="inlineStr">
        <is>
          <t>Dexcom G7 CGM Sensors, 30-day</t>
        </is>
      </c>
      <c r="D14" t="n">
        <v>10</v>
      </c>
      <c r="E14" s="2" t="n">
        <v>90</v>
      </c>
      <c r="F14" s="2" t="n">
        <v>900</v>
      </c>
      <c r="G14" t="inlineStr">
        <is>
          <t>MOYHINOR (CGM_STRATEGY)</t>
        </is>
      </c>
      <c r="H14" t="n">
        <v>70</v>
      </c>
    </row>
    <row r="15">
      <c r="A15" t="inlineStr">
        <is>
          <t>A4253</t>
        </is>
      </c>
      <c r="B15" t="inlineStr">
        <is>
          <t>DM06</t>
        </is>
      </c>
      <c r="C15" t="inlineStr">
        <is>
          <t>BLOOD GLUCOSE TEST OR REAGENT STRIPS FOR HOME BLOOD GLUCOSE MONITOR, PER 50 STRIPS</t>
        </is>
      </c>
      <c r="D15" t="n">
        <v>1500</v>
      </c>
      <c r="E15" s="2" t="n">
        <v>0.5</v>
      </c>
      <c r="F15" s="2" t="n">
        <v>750</v>
      </c>
      <c r="G15" t="inlineStr">
        <is>
          <t>WALTERS</t>
        </is>
      </c>
      <c r="H15" t="n">
        <v>70</v>
      </c>
    </row>
    <row r="16">
      <c r="A16" t="inlineStr">
        <is>
          <t>K0001</t>
        </is>
      </c>
      <c r="B16" t="inlineStr">
        <is>
          <t>M06</t>
        </is>
      </c>
      <c r="C16" t="inlineStr">
        <is>
          <t>STANDARD WHEELCHAIR</t>
        </is>
      </c>
      <c r="D16" t="n">
        <v>2</v>
      </c>
      <c r="E16" s="2" t="n">
        <v>400</v>
      </c>
      <c r="F16" s="2" t="n">
        <v>800</v>
      </c>
      <c r="G16" t="inlineStr">
        <is>
          <t>MOYHINOR</t>
        </is>
      </c>
      <c r="H16" t="n">
        <v>70</v>
      </c>
    </row>
    <row r="17">
      <c r="A17" t="inlineStr">
        <is>
          <t>A4259</t>
        </is>
      </c>
      <c r="B17" t="inlineStr">
        <is>
          <t>DM06</t>
        </is>
      </c>
      <c r="C17" t="inlineStr">
        <is>
          <t>LANCETS, PER BOX OF 100</t>
        </is>
      </c>
      <c r="D17" t="n">
        <v>1000</v>
      </c>
      <c r="E17" s="2" t="n">
        <v>0.2</v>
      </c>
      <c r="F17" s="2" t="n">
        <v>200</v>
      </c>
      <c r="G17" t="inlineStr">
        <is>
          <t>WALTERS</t>
        </is>
      </c>
      <c r="H17" t="n">
        <v>70</v>
      </c>
    </row>
    <row r="18">
      <c r="A18" t="inlineStr">
        <is>
          <t>E0570</t>
        </is>
      </c>
      <c r="B18" t="inlineStr">
        <is>
          <t>R07</t>
        </is>
      </c>
      <c r="C18" t="inlineStr">
        <is>
          <t>NEBULIZER, WITH COMPRESSOR</t>
        </is>
      </c>
      <c r="D18" t="n">
        <v>6</v>
      </c>
      <c r="E18" s="2" t="n">
        <v>150</v>
      </c>
      <c r="F18" s="2" t="n">
        <v>900</v>
      </c>
      <c r="G18" t="inlineStr">
        <is>
          <t>RAMBOM</t>
        </is>
      </c>
      <c r="H18" t="n">
        <v>60</v>
      </c>
    </row>
    <row r="19">
      <c r="A19" t="inlineStr">
        <is>
          <t>A4554</t>
        </is>
      </c>
      <c r="B19" t="inlineStr">
        <is>
          <t>PD09</t>
        </is>
      </c>
      <c r="C19" t="inlineStr">
        <is>
          <t>DISPOSABLE UNDERPADS, ALL SIZES</t>
        </is>
      </c>
      <c r="D19" t="n">
        <v>2000</v>
      </c>
      <c r="E19" s="2" t="n">
        <v>0.125</v>
      </c>
      <c r="F19" s="2" t="n">
        <v>250</v>
      </c>
      <c r="G19" t="inlineStr">
        <is>
          <t>WALTERS</t>
        </is>
      </c>
      <c r="H19" t="n">
        <v>60</v>
      </c>
    </row>
    <row r="20">
      <c r="A20" t="inlineStr">
        <is>
          <t>A4520</t>
        </is>
      </c>
      <c r="B20" t="inlineStr">
        <is>
          <t>PD09</t>
        </is>
      </c>
      <c r="C20" t="inlineStr">
        <is>
          <t>INCONTINENCE GARMENT, ANY TYPE, (E.G., BRIEF, DIAPER), EACH</t>
        </is>
      </c>
      <c r="D20" t="n">
        <v>3000</v>
      </c>
      <c r="E20" s="2" t="n">
        <v>1.166666666666667</v>
      </c>
      <c r="F20" s="2" t="n">
        <v>3500</v>
      </c>
      <c r="G20" t="inlineStr">
        <is>
          <t>WALTERS</t>
        </is>
      </c>
      <c r="H20" t="n">
        <v>60</v>
      </c>
    </row>
    <row r="21">
      <c r="A21" t="inlineStr">
        <is>
          <t>B4150</t>
        </is>
      </c>
      <c r="B21" t="inlineStr">
        <is>
          <t>PE03</t>
        </is>
      </c>
      <c r="C21" t="inlineStr">
        <is>
          <t>ENTERAL FORMULA, NUTRITIONALLY COMPLETE WITH INTACT NUTRIENTS, INCLUDES PROTEINS, FATS, CARBOHYDRATES, VITAMINS AND MINERALS, MAY INCLUDE FIBER, ADMINISTERED THROUGH AN ENTERAL FEEDING TUBE, 100 CALORIES = 1 UNIT</t>
        </is>
      </c>
      <c r="D21" t="n">
        <v>40</v>
      </c>
      <c r="E21" s="2" t="n">
        <v>30</v>
      </c>
      <c r="F21" s="2" t="n">
        <v>1200</v>
      </c>
      <c r="G21" t="inlineStr">
        <is>
          <t>RAMBOM</t>
        </is>
      </c>
      <c r="H21"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2025-11-22T23:57:23Z</dcterms:created>
  <dcterms:modified xsi:type="dcterms:W3CDTF">2025-11-22T23:57:23Z</dcterms:modified>
</cp:coreProperties>
</file>